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8D33232-A1CC-4A5B-86CC-6AB0D0FBE693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XLOOKUP" sheetId="1" r:id="rId1"/>
    <sheet name="XLOOKUP Multiple Rows" sheetId="2" r:id="rId2"/>
    <sheet name="XLOOKUP Exact Match" sheetId="3" r:id="rId3"/>
    <sheet name="XLOOKUP Search Order" sheetId="4" r:id="rId4"/>
    <sheet name="XLOOKUP Horizontal" sheetId="5" r:id="rId5"/>
    <sheet name="XLOOKUP w SUM" sheetId="6" r:id="rId6"/>
    <sheet name="VLOOKUP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5" i="7"/>
  <c r="B3" i="7"/>
  <c r="B7" i="6"/>
  <c r="B3" i="6"/>
  <c r="B4" i="6"/>
  <c r="B2" i="6"/>
  <c r="B3" i="5"/>
  <c r="B4" i="5"/>
  <c r="B2" i="5"/>
  <c r="B4" i="4"/>
  <c r="B3" i="4"/>
  <c r="B6" i="3"/>
  <c r="B4" i="3"/>
  <c r="B5" i="3"/>
  <c r="B3" i="3"/>
  <c r="B4" i="2" a="1"/>
  <c r="B4" i="2"/>
  <c r="B5" i="2" a="1"/>
  <c r="B5" i="2"/>
  <c r="B6" i="2" a="1"/>
  <c r="B6" i="2"/>
  <c r="B3" i="2" a="1"/>
  <c r="B3" i="2"/>
  <c r="B4" i="1"/>
  <c r="B5" i="1"/>
  <c r="B6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<sst xmlns="http://schemas.openxmlformats.org/spreadsheetml/2006/main" count="391" uniqueCount="74">
  <si>
    <t xml:space="preserve">Employee ID </t>
  </si>
  <si>
    <t>First Name</t>
  </si>
  <si>
    <t>Last 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</si>
  <si>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</si>
  <si>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</si>
  <si>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</si>
  <si>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</si>
  <si>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</si>
  <si>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</si>
  <si>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</si>
  <si>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</si>
  <si>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Alia</t>
  </si>
  <si>
    <t>Noor</t>
  </si>
  <si>
    <t>Alia Noor</t>
  </si>
  <si>
    <t>Female</t>
  </si>
  <si>
    <t>Receptionist</t>
  </si>
  <si>
    <t>alianoor23@gmail.com</t>
  </si>
  <si>
    <t>Huzaifa Ali</t>
  </si>
  <si>
    <t>Hasan</t>
  </si>
  <si>
    <t>Ali</t>
  </si>
  <si>
    <t>Hasan Ali</t>
  </si>
  <si>
    <t>Male</t>
  </si>
  <si>
    <t>Salesman</t>
  </si>
  <si>
    <t>hasanali46@gmail.com</t>
  </si>
  <si>
    <t>Hureem</t>
  </si>
  <si>
    <t>Basit</t>
  </si>
  <si>
    <t>Hureem Basit</t>
  </si>
  <si>
    <t>HR</t>
  </si>
  <si>
    <t>hureembasit3@gmail.com</t>
  </si>
  <si>
    <t>Walija Amir</t>
  </si>
  <si>
    <t>Awais</t>
  </si>
  <si>
    <t>Fayaz</t>
  </si>
  <si>
    <t>Awais Fayaz</t>
  </si>
  <si>
    <t>Regional Manager</t>
  </si>
  <si>
    <t>awaisfayaz232@gmail.com</t>
  </si>
  <si>
    <t>Jamal Arif</t>
  </si>
  <si>
    <t>Huzaifa</t>
  </si>
  <si>
    <t>Accountant</t>
  </si>
  <si>
    <t>huzaifaali32@gmail.com</t>
  </si>
  <si>
    <t>Fahad</t>
  </si>
  <si>
    <t>Mazhar</t>
  </si>
  <si>
    <t>Fahad Mazhar</t>
  </si>
  <si>
    <t>Relationship Manager</t>
  </si>
  <si>
    <t>fahadmazhar65@gmail.com</t>
  </si>
  <si>
    <t>Walija</t>
  </si>
  <si>
    <t>Amir</t>
  </si>
  <si>
    <t>walijaamir38@gmail.com</t>
  </si>
  <si>
    <t>Tahir</t>
  </si>
  <si>
    <t>Ahmed</t>
  </si>
  <si>
    <t>Tahir Ahmad</t>
  </si>
  <si>
    <t>tahirahmed456@gmail.com</t>
  </si>
  <si>
    <t>Jamal</t>
  </si>
  <si>
    <t>Arif</t>
  </si>
  <si>
    <t>jamalarif789@gmail.com</t>
  </si>
  <si>
    <t>End Date</t>
  </si>
  <si>
    <t>Start Date</t>
  </si>
  <si>
    <t>Person</t>
  </si>
  <si>
    <t>February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</si>
  <si>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</si>
  <si>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</si>
  <si>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</si>
  <si>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</si>
  <si>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</si>
  <si>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</si>
  <si>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</si>
  <si>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</si>
  <si>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</si>
  <si>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</si>
  <si>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</si>
  <si>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</si>
  <si>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</si>
  <si>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</si>
  <si>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Malina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</si>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</sst>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1" fillId="0" borderId="0" xfId="1" applyFill="1" applyBorder="1" applyAlignmen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B17" sqref="B17"/>
    </sheetView>
  </sheetViews>
  <sheetFormatPr defaultRowHeight="15"/>
  <cols>
    <col min="1" max="1" width="15.140625" bestFit="1" customWidth="1"/>
    <col min="2" max="2" width="22.42578125" customWidth="1"/>
    <col min="5" max="5" width="12.28515625" bestFit="1" customWidth="1"/>
    <col min="6" max="6" width="10.28515625" bestFit="1" customWidth="1"/>
    <col min="7" max="7" width="10" bestFit="1" customWidth="1"/>
    <col min="8" max="8" width="13.28515625" bestFit="1" customWidth="1"/>
    <col min="11" max="11" width="20" bestFit="1" customWidth="1"/>
    <col min="13" max="13" width="10.140625" bestFit="1" customWidth="1"/>
    <col min="14" max="14" width="11.140625" bestFit="1" customWidth="1"/>
    <col min="15" max="15" width="25.42578125" bestFit="1" customWidth="1"/>
  </cols>
  <sheetData>
    <row r="1" spans="1:15">
      <c r="E1" s="1" t="s">
        <v>0</v>
      </c>
      <c r="F1" s="1" t="s">
        <v>1</v>
      </c>
      <c r="G1" s="1" t="s">
        <v>2</v>
      </c>
      <c r="H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" t="s">
        <v>10</v>
      </c>
    </row>
    <row r="2" spans="1:15">
      <c r="A2" t="s">
        <v>3</v>
      </c>
      <c r="B2" t="s">
        <v>10</v>
      </c>
      <c r="E2" s="1">
        <v>1001</v>
      </c>
      <c r="F2" s="1" t="s">
        <v>11</v>
      </c>
      <c r="G2" s="1" t="s">
        <v>12</v>
      </c>
      <c r="H2" t="s">
        <v>13</v>
      </c>
      <c r="I2" s="1">
        <v>30</v>
      </c>
      <c r="J2" s="1" t="s">
        <v>14</v>
      </c>
      <c r="K2" s="1" t="s">
        <v>15</v>
      </c>
      <c r="L2" s="1">
        <v>36000</v>
      </c>
      <c r="M2" s="2">
        <v>37197</v>
      </c>
      <c r="N2" s="2">
        <v>42253</v>
      </c>
      <c r="O2" s="3" t="s">
        <v>16</v>
      </c>
    </row>
    <row r="3" spans="1:15">
      <c r="A3" t="s">
        <v>17</v>
      </c>
      <c r="B3" t="str">
        <f>_xlfn.XLOOKUP(A3,H2:H10,O2:O10)</f>
        <v>huzaifaali32@gmail.com</v>
      </c>
      <c r="E3" s="1">
        <v>1002</v>
      </c>
      <c r="F3" s="1" t="s">
        <v>18</v>
      </c>
      <c r="G3" s="1" t="s">
        <v>19</v>
      </c>
      <c r="H3" t="s">
        <v>20</v>
      </c>
      <c r="I3" s="1">
        <v>30</v>
      </c>
      <c r="J3" s="1" t="s">
        <v>21</v>
      </c>
      <c r="K3" s="1" t="s">
        <v>22</v>
      </c>
      <c r="L3" s="1">
        <v>45000</v>
      </c>
      <c r="M3" s="2">
        <v>36436</v>
      </c>
      <c r="N3" s="2">
        <v>42287</v>
      </c>
      <c r="O3" s="3" t="s">
        <v>23</v>
      </c>
    </row>
    <row r="4" spans="1:15">
      <c r="A4" t="s">
        <v>20</v>
      </c>
      <c r="B4" t="str">
        <f t="shared" ref="B4:B6" si="0">_xlfn.XLOOKUP(A4,H3:H11,O3:O11)</f>
        <v>hasanali46@gmail.com</v>
      </c>
      <c r="E4" s="1">
        <v>1003</v>
      </c>
      <c r="F4" s="1" t="s">
        <v>24</v>
      </c>
      <c r="G4" s="1" t="s">
        <v>25</v>
      </c>
      <c r="H4" t="s">
        <v>26</v>
      </c>
      <c r="I4" s="1">
        <v>29</v>
      </c>
      <c r="J4" s="1" t="s">
        <v>14</v>
      </c>
      <c r="K4" s="1" t="s">
        <v>27</v>
      </c>
      <c r="L4" s="1">
        <v>50000</v>
      </c>
      <c r="M4" s="2">
        <v>36711</v>
      </c>
      <c r="N4" s="2">
        <v>42986</v>
      </c>
      <c r="O4" s="3" t="s">
        <v>28</v>
      </c>
    </row>
    <row r="5" spans="1:15">
      <c r="A5" t="s">
        <v>29</v>
      </c>
      <c r="B5" t="str">
        <f t="shared" si="0"/>
        <v>walijaamir38@gmail.com</v>
      </c>
      <c r="E5" s="1">
        <v>1004</v>
      </c>
      <c r="F5" s="1" t="s">
        <v>30</v>
      </c>
      <c r="G5" s="1" t="s">
        <v>31</v>
      </c>
      <c r="H5" t="s">
        <v>32</v>
      </c>
      <c r="I5" s="1">
        <v>31</v>
      </c>
      <c r="J5" s="1" t="s">
        <v>21</v>
      </c>
      <c r="K5" s="1" t="s">
        <v>33</v>
      </c>
      <c r="L5" s="1">
        <v>65000</v>
      </c>
      <c r="M5" s="2">
        <v>36530</v>
      </c>
      <c r="N5" s="2">
        <v>42341</v>
      </c>
      <c r="O5" s="3" t="s">
        <v>34</v>
      </c>
    </row>
    <row r="6" spans="1:15">
      <c r="A6" t="s">
        <v>35</v>
      </c>
      <c r="B6" t="str">
        <f t="shared" si="0"/>
        <v>jamalarif789@gmail.com</v>
      </c>
      <c r="E6" s="1">
        <v>1005</v>
      </c>
      <c r="F6" s="1" t="s">
        <v>36</v>
      </c>
      <c r="G6" s="1" t="s">
        <v>19</v>
      </c>
      <c r="H6" t="s">
        <v>17</v>
      </c>
      <c r="I6" s="1">
        <v>32</v>
      </c>
      <c r="J6" s="1" t="s">
        <v>21</v>
      </c>
      <c r="K6" s="1" t="s">
        <v>37</v>
      </c>
      <c r="L6" s="1">
        <v>47000</v>
      </c>
      <c r="M6" s="2">
        <v>37017</v>
      </c>
      <c r="N6" s="2">
        <v>42977</v>
      </c>
      <c r="O6" s="3" t="s">
        <v>38</v>
      </c>
    </row>
    <row r="7" spans="1:15">
      <c r="E7" s="1">
        <v>1006</v>
      </c>
      <c r="F7" s="1" t="s">
        <v>39</v>
      </c>
      <c r="G7" s="1" t="s">
        <v>40</v>
      </c>
      <c r="H7" t="s">
        <v>41</v>
      </c>
      <c r="I7" s="1">
        <v>35</v>
      </c>
      <c r="J7" s="1" t="s">
        <v>21</v>
      </c>
      <c r="K7" s="1" t="s">
        <v>42</v>
      </c>
      <c r="L7" s="1">
        <v>63000</v>
      </c>
      <c r="M7" s="2">
        <v>35040</v>
      </c>
      <c r="N7" s="2">
        <v>41528</v>
      </c>
      <c r="O7" s="3" t="s">
        <v>43</v>
      </c>
    </row>
    <row r="8" spans="1:15">
      <c r="E8" s="1">
        <v>1007</v>
      </c>
      <c r="F8" s="1" t="s">
        <v>44</v>
      </c>
      <c r="G8" s="1" t="s">
        <v>45</v>
      </c>
      <c r="H8" t="s">
        <v>29</v>
      </c>
      <c r="I8" s="1">
        <v>32</v>
      </c>
      <c r="J8" s="1" t="s">
        <v>14</v>
      </c>
      <c r="K8" s="1" t="s">
        <v>37</v>
      </c>
      <c r="L8" s="1">
        <v>42000</v>
      </c>
      <c r="M8" s="2">
        <v>37933</v>
      </c>
      <c r="N8" s="2">
        <v>41551</v>
      </c>
      <c r="O8" s="3" t="s">
        <v>46</v>
      </c>
    </row>
    <row r="9" spans="1:15">
      <c r="E9" s="1">
        <v>1008</v>
      </c>
      <c r="F9" s="1" t="s">
        <v>47</v>
      </c>
      <c r="G9" s="1" t="s">
        <v>48</v>
      </c>
      <c r="H9" t="s">
        <v>49</v>
      </c>
      <c r="I9" s="1">
        <v>38</v>
      </c>
      <c r="J9" s="1" t="s">
        <v>21</v>
      </c>
      <c r="K9" s="1" t="s">
        <v>22</v>
      </c>
      <c r="L9" s="1">
        <v>48000</v>
      </c>
      <c r="M9" s="2">
        <v>37416</v>
      </c>
      <c r="N9" s="2">
        <v>42116</v>
      </c>
      <c r="O9" s="3" t="s">
        <v>50</v>
      </c>
    </row>
    <row r="10" spans="1:15">
      <c r="E10" s="1">
        <v>1009</v>
      </c>
      <c r="F10" s="1" t="s">
        <v>51</v>
      </c>
      <c r="G10" s="1" t="s">
        <v>52</v>
      </c>
      <c r="H10" t="s">
        <v>35</v>
      </c>
      <c r="I10" s="1">
        <v>31</v>
      </c>
      <c r="J10" s="1" t="s">
        <v>21</v>
      </c>
      <c r="K10" s="1" t="s">
        <v>37</v>
      </c>
      <c r="L10" s="1">
        <v>44000</v>
      </c>
      <c r="M10" s="2">
        <v>37843</v>
      </c>
      <c r="N10" s="2">
        <v>40800</v>
      </c>
      <c r="O10" s="3" t="s">
        <v>53</v>
      </c>
    </row>
  </sheetData>
  <hyperlinks>
    <hyperlink ref="O1" r:id="rId1" xr:uid="{921F0641-FB35-47CB-A44E-D66454CB89A6}"/>
    <hyperlink ref="O2" r:id="rId2" xr:uid="{BC1D93D3-0EF9-4D74-8A73-3584CA917290}"/>
    <hyperlink ref="O3" r:id="rId3" xr:uid="{2FEEAE77-8174-4603-BC03-5152B02FC8C9}"/>
    <hyperlink ref="O4" r:id="rId4" xr:uid="{AD46FA18-3156-4126-A975-F967013C8AE7}"/>
    <hyperlink ref="O5" r:id="rId5" xr:uid="{17EE3227-0390-4AC6-8EE4-AEC11699239A}"/>
    <hyperlink ref="O6" r:id="rId6" xr:uid="{733415D6-50A4-450A-9755-BC3C08CF490E}"/>
    <hyperlink ref="O7" r:id="rId7" xr:uid="{B4DE2154-DB1C-4FCA-9BB2-D28BD932356F}"/>
    <hyperlink ref="O8" r:id="rId8" xr:uid="{B118151B-D851-4262-AA82-EC924FFD8DC4}"/>
    <hyperlink ref="O9" r:id="rId9" xr:uid="{BCB1D6AB-BE18-4312-A968-63D9E5F78B47}"/>
    <hyperlink ref="O10" r:id="rId10" xr:uid="{6F276A28-F190-45C2-B056-998C4978EA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940D-FF88-4649-854F-EA7706DA3498}">
  <dimension ref="A1:P10"/>
  <sheetViews>
    <sheetView workbookViewId="0">
      <selection activeCell="B2" sqref="B2"/>
    </sheetView>
  </sheetViews>
  <sheetFormatPr defaultRowHeight="15"/>
  <cols>
    <col min="1" max="1" width="10.5703125" customWidth="1"/>
    <col min="2" max="2" width="11.5703125" customWidth="1"/>
    <col min="3" max="3" width="22.42578125" customWidth="1"/>
    <col min="9" max="9" width="13.5703125" customWidth="1"/>
    <col min="12" max="12" width="20" customWidth="1"/>
    <col min="14" max="14" width="10.140625" bestFit="1" customWidth="1"/>
    <col min="15" max="15" width="11.28515625" customWidth="1"/>
    <col min="16" max="16" width="27.5703125" customWidth="1"/>
  </cols>
  <sheetData>
    <row r="1" spans="1:16">
      <c r="F1" s="1" t="s">
        <v>0</v>
      </c>
      <c r="G1" s="1" t="s">
        <v>1</v>
      </c>
      <c r="H1" s="1" t="s">
        <v>2</v>
      </c>
      <c r="I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3" t="s">
        <v>10</v>
      </c>
    </row>
    <row r="2" spans="1:16">
      <c r="A2" t="s">
        <v>3</v>
      </c>
      <c r="B2" t="s">
        <v>54</v>
      </c>
      <c r="C2" t="s">
        <v>10</v>
      </c>
      <c r="F2" s="1">
        <v>1001</v>
      </c>
      <c r="G2" s="1" t="s">
        <v>11</v>
      </c>
      <c r="H2" s="1" t="s">
        <v>12</v>
      </c>
      <c r="I2" t="s">
        <v>13</v>
      </c>
      <c r="J2" s="1">
        <v>30</v>
      </c>
      <c r="K2" s="1" t="s">
        <v>14</v>
      </c>
      <c r="L2" s="1" t="s">
        <v>15</v>
      </c>
      <c r="M2" s="1">
        <v>36000</v>
      </c>
      <c r="N2" s="2">
        <v>37197</v>
      </c>
      <c r="O2" s="2">
        <v>42253</v>
      </c>
      <c r="P2" s="3" t="s">
        <v>16</v>
      </c>
    </row>
    <row r="3" spans="1:16">
      <c r="A3" t="s">
        <v>17</v>
      </c>
      <c r="B3" s="4" cm="1">
        <f t="array" ref="B3:C3">_xlfn.XLOOKUP(A3,I2:I10,O2:P10)</f>
        <v>42977</v>
      </c>
      <c r="C3" t="str">
        <v>huzaifaali32@gmail.com</v>
      </c>
      <c r="F3" s="1">
        <v>1002</v>
      </c>
      <c r="G3" s="1" t="s">
        <v>18</v>
      </c>
      <c r="H3" s="1" t="s">
        <v>19</v>
      </c>
      <c r="I3" t="s">
        <v>20</v>
      </c>
      <c r="J3" s="1">
        <v>30</v>
      </c>
      <c r="K3" s="1" t="s">
        <v>21</v>
      </c>
      <c r="L3" s="1" t="s">
        <v>22</v>
      </c>
      <c r="M3" s="1">
        <v>45000</v>
      </c>
      <c r="N3" s="2">
        <v>36436</v>
      </c>
      <c r="O3" s="2">
        <v>42287</v>
      </c>
      <c r="P3" s="3" t="s">
        <v>23</v>
      </c>
    </row>
    <row r="4" spans="1:16">
      <c r="A4" t="s">
        <v>20</v>
      </c>
      <c r="B4" s="4" cm="1">
        <f t="array" ref="B4:C4">_xlfn.XLOOKUP(A4,I3:I11,O3:P11)</f>
        <v>42287</v>
      </c>
      <c r="C4" t="str">
        <v>hasanali46@gmail.com</v>
      </c>
      <c r="F4" s="1">
        <v>1003</v>
      </c>
      <c r="G4" s="1" t="s">
        <v>24</v>
      </c>
      <c r="H4" s="1" t="s">
        <v>25</v>
      </c>
      <c r="I4" t="s">
        <v>26</v>
      </c>
      <c r="J4" s="1">
        <v>29</v>
      </c>
      <c r="K4" s="1" t="s">
        <v>14</v>
      </c>
      <c r="L4" s="1" t="s">
        <v>27</v>
      </c>
      <c r="M4" s="1">
        <v>50000</v>
      </c>
      <c r="N4" s="2">
        <v>36711</v>
      </c>
      <c r="O4" s="2">
        <v>42986</v>
      </c>
      <c r="P4" s="3" t="s">
        <v>28</v>
      </c>
    </row>
    <row r="5" spans="1:16">
      <c r="A5" t="s">
        <v>29</v>
      </c>
      <c r="B5" s="4" cm="1">
        <f t="array" ref="B5:C5">_xlfn.XLOOKUP(A5,I4:I12,O4:P12)</f>
        <v>41551</v>
      </c>
      <c r="C5" t="str">
        <v>walijaamir38@gmail.com</v>
      </c>
      <c r="F5" s="1">
        <v>1004</v>
      </c>
      <c r="G5" s="1" t="s">
        <v>30</v>
      </c>
      <c r="H5" s="1" t="s">
        <v>31</v>
      </c>
      <c r="I5" t="s">
        <v>32</v>
      </c>
      <c r="J5" s="1">
        <v>31</v>
      </c>
      <c r="K5" s="1" t="s">
        <v>21</v>
      </c>
      <c r="L5" s="1" t="s">
        <v>33</v>
      </c>
      <c r="M5" s="1">
        <v>65000</v>
      </c>
      <c r="N5" s="2">
        <v>36530</v>
      </c>
      <c r="O5" s="2">
        <v>42341</v>
      </c>
      <c r="P5" s="3" t="s">
        <v>34</v>
      </c>
    </row>
    <row r="6" spans="1:16">
      <c r="A6" t="s">
        <v>35</v>
      </c>
      <c r="B6" s="4" cm="1">
        <f t="array" ref="B6:C6">_xlfn.XLOOKUP(A6,I5:I13,O5:P13)</f>
        <v>40800</v>
      </c>
      <c r="C6" t="str">
        <v>jamalarif789@gmail.com</v>
      </c>
      <c r="F6" s="1">
        <v>1005</v>
      </c>
      <c r="G6" s="1" t="s">
        <v>36</v>
      </c>
      <c r="H6" s="1" t="s">
        <v>19</v>
      </c>
      <c r="I6" t="s">
        <v>17</v>
      </c>
      <c r="J6" s="1">
        <v>32</v>
      </c>
      <c r="K6" s="1" t="s">
        <v>21</v>
      </c>
      <c r="L6" s="1" t="s">
        <v>37</v>
      </c>
      <c r="M6" s="1">
        <v>47000</v>
      </c>
      <c r="N6" s="2">
        <v>37017</v>
      </c>
      <c r="O6" s="2">
        <v>42977</v>
      </c>
      <c r="P6" s="3" t="s">
        <v>38</v>
      </c>
    </row>
    <row r="7" spans="1:16">
      <c r="F7" s="1">
        <v>1006</v>
      </c>
      <c r="G7" s="1" t="s">
        <v>39</v>
      </c>
      <c r="H7" s="1" t="s">
        <v>40</v>
      </c>
      <c r="I7" t="s">
        <v>41</v>
      </c>
      <c r="J7" s="1">
        <v>35</v>
      </c>
      <c r="K7" s="1" t="s">
        <v>21</v>
      </c>
      <c r="L7" s="1" t="s">
        <v>42</v>
      </c>
      <c r="M7" s="1">
        <v>63000</v>
      </c>
      <c r="N7" s="2">
        <v>35040</v>
      </c>
      <c r="O7" s="2">
        <v>41528</v>
      </c>
      <c r="P7" s="3" t="s">
        <v>43</v>
      </c>
    </row>
    <row r="8" spans="1:16">
      <c r="F8" s="1">
        <v>1007</v>
      </c>
      <c r="G8" s="1" t="s">
        <v>44</v>
      </c>
      <c r="H8" s="1" t="s">
        <v>45</v>
      </c>
      <c r="I8" t="s">
        <v>29</v>
      </c>
      <c r="J8" s="1">
        <v>32</v>
      </c>
      <c r="K8" s="1" t="s">
        <v>14</v>
      </c>
      <c r="L8" s="1" t="s">
        <v>37</v>
      </c>
      <c r="M8" s="1">
        <v>42000</v>
      </c>
      <c r="N8" s="2">
        <v>37933</v>
      </c>
      <c r="O8" s="2">
        <v>41551</v>
      </c>
      <c r="P8" s="3" t="s">
        <v>46</v>
      </c>
    </row>
    <row r="9" spans="1:16">
      <c r="F9" s="1">
        <v>1008</v>
      </c>
      <c r="G9" s="1" t="s">
        <v>47</v>
      </c>
      <c r="H9" s="1" t="s">
        <v>48</v>
      </c>
      <c r="I9" t="s">
        <v>49</v>
      </c>
      <c r="J9" s="1">
        <v>38</v>
      </c>
      <c r="K9" s="1" t="s">
        <v>21</v>
      </c>
      <c r="L9" s="1" t="s">
        <v>22</v>
      </c>
      <c r="M9" s="1">
        <v>48000</v>
      </c>
      <c r="N9" s="2">
        <v>37416</v>
      </c>
      <c r="O9" s="2">
        <v>42116</v>
      </c>
      <c r="P9" s="3" t="s">
        <v>50</v>
      </c>
    </row>
    <row r="10" spans="1:16">
      <c r="F10" s="1">
        <v>1009</v>
      </c>
      <c r="G10" s="1" t="s">
        <v>51</v>
      </c>
      <c r="H10" s="1" t="s">
        <v>52</v>
      </c>
      <c r="I10" t="s">
        <v>35</v>
      </c>
      <c r="J10" s="1">
        <v>31</v>
      </c>
      <c r="K10" s="1" t="s">
        <v>21</v>
      </c>
      <c r="L10" s="1" t="s">
        <v>37</v>
      </c>
      <c r="M10" s="1">
        <v>44000</v>
      </c>
      <c r="N10" s="2">
        <v>37843</v>
      </c>
      <c r="O10" s="2">
        <v>40800</v>
      </c>
      <c r="P10" s="3" t="s">
        <v>53</v>
      </c>
    </row>
  </sheetData>
  <hyperlinks>
    <hyperlink ref="P1" r:id="rId1" xr:uid="{E026F29F-6642-47DC-91FF-2A89DE7A3F32}"/>
    <hyperlink ref="P2" r:id="rId2" xr:uid="{C0403E82-65FD-4BD3-AEDB-4D4D509ADB43}"/>
    <hyperlink ref="P3" r:id="rId3" xr:uid="{485DB25F-83EC-4D58-AFCD-10FF9FECAAF1}"/>
    <hyperlink ref="P4" r:id="rId4" xr:uid="{327C5A30-714E-473A-B792-6EB67E982635}"/>
    <hyperlink ref="P5" r:id="rId5" xr:uid="{10AE810D-8825-4FA5-8A16-C54F6407B85D}"/>
    <hyperlink ref="P6" r:id="rId6" xr:uid="{3181638F-AA29-41E1-95B1-67DAFD91CF67}"/>
    <hyperlink ref="P7" r:id="rId7" xr:uid="{65DE3FE6-8116-44D6-9255-5D4FEC4D9CE2}"/>
    <hyperlink ref="P8" r:id="rId8" xr:uid="{76FE9C32-149C-4BF8-9135-E7E453753971}"/>
    <hyperlink ref="P9" r:id="rId9" xr:uid="{548E6A44-FD53-4F04-8BD6-79B36E00614E}"/>
    <hyperlink ref="P10" r:id="rId10" xr:uid="{A48230F8-3F0C-45CF-A98E-E340BFA5C3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307A-07BF-4F04-8A31-51A27071496A}">
  <dimension ref="A1:O10"/>
  <sheetViews>
    <sheetView workbookViewId="0">
      <selection activeCell="E1" sqref="E1:O10"/>
    </sheetView>
  </sheetViews>
  <sheetFormatPr defaultRowHeight="15"/>
  <cols>
    <col min="1" max="1" width="11.7109375" customWidth="1"/>
    <col min="2" max="2" width="23.140625" customWidth="1"/>
    <col min="8" max="8" width="12.85546875" customWidth="1"/>
    <col min="11" max="11" width="17.42578125" customWidth="1"/>
    <col min="13" max="13" width="11" customWidth="1"/>
    <col min="14" max="14" width="11.5703125" customWidth="1"/>
    <col min="15" max="15" width="26.28515625" customWidth="1"/>
  </cols>
  <sheetData>
    <row r="1" spans="1:15">
      <c r="E1" s="1" t="s">
        <v>0</v>
      </c>
      <c r="F1" s="1" t="s">
        <v>1</v>
      </c>
      <c r="G1" s="1" t="s">
        <v>2</v>
      </c>
      <c r="H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" t="s">
        <v>10</v>
      </c>
    </row>
    <row r="2" spans="1:15">
      <c r="A2" t="s">
        <v>3</v>
      </c>
      <c r="B2" t="s">
        <v>10</v>
      </c>
      <c r="E2" s="1">
        <v>1001</v>
      </c>
      <c r="F2" s="1" t="s">
        <v>11</v>
      </c>
      <c r="G2" s="1" t="s">
        <v>12</v>
      </c>
      <c r="H2" t="s">
        <v>13</v>
      </c>
      <c r="I2" s="1">
        <v>30</v>
      </c>
      <c r="J2" s="1" t="s">
        <v>14</v>
      </c>
      <c r="K2" s="1" t="s">
        <v>15</v>
      </c>
      <c r="L2" s="1">
        <v>36000</v>
      </c>
      <c r="M2" s="2">
        <v>37197</v>
      </c>
      <c r="N2" s="2">
        <v>42253</v>
      </c>
      <c r="O2" s="3" t="s">
        <v>16</v>
      </c>
    </row>
    <row r="3" spans="1:15">
      <c r="A3" t="s">
        <v>36</v>
      </c>
      <c r="B3" t="str">
        <f>_xlfn.XLOOKUP(A3,H2:H10,O2:O10,"Not Found")</f>
        <v>Not Found</v>
      </c>
      <c r="E3" s="1">
        <v>1002</v>
      </c>
      <c r="F3" s="1" t="s">
        <v>18</v>
      </c>
      <c r="G3" s="1" t="s">
        <v>19</v>
      </c>
      <c r="H3" t="s">
        <v>20</v>
      </c>
      <c r="I3" s="1">
        <v>30</v>
      </c>
      <c r="J3" s="1" t="s">
        <v>21</v>
      </c>
      <c r="K3" s="1" t="s">
        <v>22</v>
      </c>
      <c r="L3" s="1">
        <v>45000</v>
      </c>
      <c r="M3" s="2">
        <v>36436</v>
      </c>
      <c r="N3" s="2">
        <v>42287</v>
      </c>
      <c r="O3" s="3" t="s">
        <v>23</v>
      </c>
    </row>
    <row r="4" spans="1:15">
      <c r="A4" t="s">
        <v>18</v>
      </c>
      <c r="B4" t="str">
        <f>_xlfn.XLOOKUP(A4&amp;"*",H2:H10,O2:O10,"Not Found",2)</f>
        <v>hasanali46@gmail.com</v>
      </c>
      <c r="E4" s="1">
        <v>1003</v>
      </c>
      <c r="F4" s="1" t="s">
        <v>24</v>
      </c>
      <c r="G4" s="1" t="s">
        <v>25</v>
      </c>
      <c r="H4" t="s">
        <v>26</v>
      </c>
      <c r="I4" s="1">
        <v>29</v>
      </c>
      <c r="J4" s="1" t="s">
        <v>14</v>
      </c>
      <c r="K4" s="1" t="s">
        <v>27</v>
      </c>
      <c r="L4" s="1">
        <v>50000</v>
      </c>
      <c r="M4" s="2">
        <v>36711</v>
      </c>
      <c r="N4" s="2">
        <v>42986</v>
      </c>
      <c r="O4" s="3" t="s">
        <v>28</v>
      </c>
    </row>
    <row r="5" spans="1:15">
      <c r="A5" t="s">
        <v>45</v>
      </c>
      <c r="B5" t="str">
        <f>_xlfn.XLOOKUP("*"&amp;A5,H2:H10,O2:O10,"Not Found",2)</f>
        <v>walijaamir38@gmail.com</v>
      </c>
      <c r="E5" s="1">
        <v>1004</v>
      </c>
      <c r="F5" s="1" t="s">
        <v>30</v>
      </c>
      <c r="G5" s="1" t="s">
        <v>31</v>
      </c>
      <c r="H5" t="s">
        <v>32</v>
      </c>
      <c r="I5" s="1">
        <v>31</v>
      </c>
      <c r="J5" s="1" t="s">
        <v>21</v>
      </c>
      <c r="K5" s="1" t="s">
        <v>33</v>
      </c>
      <c r="L5" s="1">
        <v>65000</v>
      </c>
      <c r="M5" s="2">
        <v>36530</v>
      </c>
      <c r="N5" s="2">
        <v>42341</v>
      </c>
      <c r="O5" s="3" t="s">
        <v>34</v>
      </c>
    </row>
    <row r="6" spans="1:15">
      <c r="A6" t="s">
        <v>52</v>
      </c>
      <c r="B6" t="str">
        <f>_xlfn.XLOOKUP("*"&amp;A6,H3:H11,O3:O11,"Not Found",2)</f>
        <v>jamalarif789@gmail.com</v>
      </c>
      <c r="E6" s="1">
        <v>1005</v>
      </c>
      <c r="F6" s="1" t="s">
        <v>36</v>
      </c>
      <c r="G6" s="1" t="s">
        <v>19</v>
      </c>
      <c r="H6" t="s">
        <v>17</v>
      </c>
      <c r="I6" s="1">
        <v>32</v>
      </c>
      <c r="J6" s="1" t="s">
        <v>21</v>
      </c>
      <c r="K6" s="1" t="s">
        <v>37</v>
      </c>
      <c r="L6" s="1">
        <v>47000</v>
      </c>
      <c r="M6" s="2">
        <v>37017</v>
      </c>
      <c r="N6" s="2">
        <v>42977</v>
      </c>
      <c r="O6" s="3" t="s">
        <v>38</v>
      </c>
    </row>
    <row r="7" spans="1:15">
      <c r="E7" s="1">
        <v>1006</v>
      </c>
      <c r="F7" s="1" t="s">
        <v>39</v>
      </c>
      <c r="G7" s="1" t="s">
        <v>40</v>
      </c>
      <c r="H7" t="s">
        <v>41</v>
      </c>
      <c r="I7" s="1">
        <v>35</v>
      </c>
      <c r="J7" s="1" t="s">
        <v>21</v>
      </c>
      <c r="K7" s="1" t="s">
        <v>42</v>
      </c>
      <c r="L7" s="1">
        <v>63000</v>
      </c>
      <c r="M7" s="2">
        <v>35040</v>
      </c>
      <c r="N7" s="2">
        <v>41528</v>
      </c>
      <c r="O7" s="3" t="s">
        <v>43</v>
      </c>
    </row>
    <row r="8" spans="1:15">
      <c r="E8" s="1">
        <v>1007</v>
      </c>
      <c r="F8" s="1" t="s">
        <v>44</v>
      </c>
      <c r="G8" s="1" t="s">
        <v>45</v>
      </c>
      <c r="H8" t="s">
        <v>29</v>
      </c>
      <c r="I8" s="1">
        <v>32</v>
      </c>
      <c r="J8" s="1" t="s">
        <v>14</v>
      </c>
      <c r="K8" s="1" t="s">
        <v>37</v>
      </c>
      <c r="L8" s="1">
        <v>42000</v>
      </c>
      <c r="M8" s="2">
        <v>37933</v>
      </c>
      <c r="N8" s="2">
        <v>41551</v>
      </c>
      <c r="O8" s="3" t="s">
        <v>46</v>
      </c>
    </row>
    <row r="9" spans="1:15">
      <c r="E9" s="1">
        <v>1008</v>
      </c>
      <c r="F9" s="1" t="s">
        <v>47</v>
      </c>
      <c r="G9" s="1" t="s">
        <v>48</v>
      </c>
      <c r="H9" t="s">
        <v>49</v>
      </c>
      <c r="I9" s="1">
        <v>38</v>
      </c>
      <c r="J9" s="1" t="s">
        <v>21</v>
      </c>
      <c r="K9" s="1" t="s">
        <v>22</v>
      </c>
      <c r="L9" s="1">
        <v>48000</v>
      </c>
      <c r="M9" s="2">
        <v>37416</v>
      </c>
      <c r="N9" s="2">
        <v>42116</v>
      </c>
      <c r="O9" s="3" t="s">
        <v>50</v>
      </c>
    </row>
    <row r="10" spans="1:15">
      <c r="E10" s="1">
        <v>1009</v>
      </c>
      <c r="F10" s="1" t="s">
        <v>51</v>
      </c>
      <c r="G10" s="1" t="s">
        <v>52</v>
      </c>
      <c r="H10" t="s">
        <v>35</v>
      </c>
      <c r="I10" s="1">
        <v>31</v>
      </c>
      <c r="J10" s="1" t="s">
        <v>21</v>
      </c>
      <c r="K10" s="1" t="s">
        <v>37</v>
      </c>
      <c r="L10" s="1">
        <v>44000</v>
      </c>
      <c r="M10" s="2">
        <v>37843</v>
      </c>
      <c r="N10" s="2">
        <v>40800</v>
      </c>
      <c r="O10" s="3" t="s">
        <v>53</v>
      </c>
    </row>
  </sheetData>
  <hyperlinks>
    <hyperlink ref="O1" r:id="rId1" xr:uid="{C35AA67D-F81B-4F07-9EB4-55D4E087438B}"/>
    <hyperlink ref="O2" r:id="rId2" xr:uid="{8D0EB2DE-91EA-4950-A018-705400D8C5EE}"/>
    <hyperlink ref="O3" r:id="rId3" xr:uid="{4B69C215-7CF1-4D38-B2C9-12C99CA8DEB5}"/>
    <hyperlink ref="O4" r:id="rId4" xr:uid="{58FCE808-18E4-4378-B2E2-C5E725295C38}"/>
    <hyperlink ref="O5" r:id="rId5" xr:uid="{5AB673D3-9A36-4CB1-A489-7CE7D963A84F}"/>
    <hyperlink ref="O6" r:id="rId6" xr:uid="{5A80E07F-D6F1-4657-AC30-2BF1FD98212C}"/>
    <hyperlink ref="O7" r:id="rId7" xr:uid="{77217AA1-6C65-4749-A41E-FAA9BE6D0879}"/>
    <hyperlink ref="O8" r:id="rId8" xr:uid="{755AE4F7-3E46-4F3A-84D1-27D3EAA03265}"/>
    <hyperlink ref="O9" r:id="rId9" xr:uid="{B0BBFE80-E6F2-4521-99B2-FBCE34BECC00}"/>
    <hyperlink ref="O10" r:id="rId10" xr:uid="{38541772-5116-413F-AE0B-C53234D3E7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2A77-D038-40E0-A6CC-4C0F35699FC6}">
  <dimension ref="A1:P10"/>
  <sheetViews>
    <sheetView workbookViewId="0">
      <selection activeCell="B5" sqref="B5"/>
    </sheetView>
  </sheetViews>
  <sheetFormatPr defaultRowHeight="15"/>
  <cols>
    <col min="1" max="1" width="9.7109375" bestFit="1" customWidth="1"/>
    <col min="9" max="9" width="13.28515625" customWidth="1"/>
    <col min="12" max="12" width="18.85546875" customWidth="1"/>
    <col min="14" max="14" width="11.140625" customWidth="1"/>
    <col min="15" max="15" width="12.140625" customWidth="1"/>
    <col min="16" max="16" width="25.5703125" customWidth="1"/>
  </cols>
  <sheetData>
    <row r="1" spans="1:16">
      <c r="F1" s="1" t="s">
        <v>0</v>
      </c>
      <c r="G1" s="1" t="s">
        <v>1</v>
      </c>
      <c r="H1" s="1" t="s">
        <v>2</v>
      </c>
      <c r="I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3" t="s">
        <v>10</v>
      </c>
    </row>
    <row r="2" spans="1:16">
      <c r="A2" t="s">
        <v>55</v>
      </c>
      <c r="B2" t="s">
        <v>56</v>
      </c>
      <c r="F2" s="1">
        <v>1001</v>
      </c>
      <c r="G2" s="1" t="s">
        <v>11</v>
      </c>
      <c r="H2" s="1" t="s">
        <v>12</v>
      </c>
      <c r="I2" t="s">
        <v>13</v>
      </c>
      <c r="J2" s="1">
        <v>30</v>
      </c>
      <c r="K2" s="1" t="s">
        <v>14</v>
      </c>
      <c r="L2" s="1" t="s">
        <v>15</v>
      </c>
      <c r="M2" s="1">
        <v>36000</v>
      </c>
      <c r="N2" s="2">
        <v>37197</v>
      </c>
      <c r="O2" s="2">
        <v>42253</v>
      </c>
      <c r="P2" s="3" t="s">
        <v>16</v>
      </c>
    </row>
    <row r="3" spans="1:16">
      <c r="A3" s="4">
        <v>36526</v>
      </c>
      <c r="B3" t="str">
        <f>_xlfn.XLOOKUP(A3,N2:N10,I2:I10,,1)</f>
        <v>Awais Fayaz</v>
      </c>
      <c r="F3" s="1">
        <v>1002</v>
      </c>
      <c r="G3" s="1" t="s">
        <v>18</v>
      </c>
      <c r="H3" s="1" t="s">
        <v>19</v>
      </c>
      <c r="I3" t="s">
        <v>20</v>
      </c>
      <c r="J3" s="1">
        <v>30</v>
      </c>
      <c r="K3" s="1" t="s">
        <v>21</v>
      </c>
      <c r="L3" s="1" t="s">
        <v>22</v>
      </c>
      <c r="M3" s="1">
        <v>45000</v>
      </c>
      <c r="N3" s="2">
        <v>36436</v>
      </c>
      <c r="O3" s="2">
        <v>42287</v>
      </c>
      <c r="P3" s="3" t="s">
        <v>23</v>
      </c>
    </row>
    <row r="4" spans="1:16">
      <c r="A4" s="4">
        <v>37017</v>
      </c>
      <c r="B4" t="str">
        <f>_xlfn.XLOOKUP(A4,N2:N10,I2:I10,,,1)</f>
        <v>Huzaifa Ali</v>
      </c>
      <c r="F4" s="1">
        <v>1003</v>
      </c>
      <c r="G4" s="1" t="s">
        <v>24</v>
      </c>
      <c r="H4" s="1" t="s">
        <v>25</v>
      </c>
      <c r="I4" t="s">
        <v>26</v>
      </c>
      <c r="J4" s="1">
        <v>29</v>
      </c>
      <c r="K4" s="1" t="s">
        <v>14</v>
      </c>
      <c r="L4" s="1" t="s">
        <v>27</v>
      </c>
      <c r="M4" s="1">
        <v>50000</v>
      </c>
      <c r="N4" s="2">
        <v>36711</v>
      </c>
      <c r="O4" s="2">
        <v>42986</v>
      </c>
      <c r="P4" s="3" t="s">
        <v>28</v>
      </c>
    </row>
    <row r="5" spans="1:16">
      <c r="F5" s="1">
        <v>1004</v>
      </c>
      <c r="G5" s="1" t="s">
        <v>30</v>
      </c>
      <c r="H5" s="1" t="s">
        <v>31</v>
      </c>
      <c r="I5" t="s">
        <v>32</v>
      </c>
      <c r="J5" s="1">
        <v>31</v>
      </c>
      <c r="K5" s="1" t="s">
        <v>21</v>
      </c>
      <c r="L5" s="1" t="s">
        <v>33</v>
      </c>
      <c r="M5" s="1">
        <v>65000</v>
      </c>
      <c r="N5" s="2">
        <v>36530</v>
      </c>
      <c r="O5" s="2">
        <v>42341</v>
      </c>
      <c r="P5" s="3" t="s">
        <v>34</v>
      </c>
    </row>
    <row r="6" spans="1:16">
      <c r="F6" s="1">
        <v>1005</v>
      </c>
      <c r="G6" s="1" t="s">
        <v>36</v>
      </c>
      <c r="H6" s="1" t="s">
        <v>19</v>
      </c>
      <c r="I6" t="s">
        <v>17</v>
      </c>
      <c r="J6" s="1">
        <v>32</v>
      </c>
      <c r="K6" s="1" t="s">
        <v>21</v>
      </c>
      <c r="L6" s="1" t="s">
        <v>37</v>
      </c>
      <c r="M6" s="1">
        <v>47000</v>
      </c>
      <c r="N6" s="2">
        <v>37017</v>
      </c>
      <c r="O6" s="2">
        <v>42977</v>
      </c>
      <c r="P6" s="3" t="s">
        <v>38</v>
      </c>
    </row>
    <row r="7" spans="1:16">
      <c r="F7" s="1">
        <v>1006</v>
      </c>
      <c r="G7" s="1" t="s">
        <v>39</v>
      </c>
      <c r="H7" s="1" t="s">
        <v>40</v>
      </c>
      <c r="I7" t="s">
        <v>41</v>
      </c>
      <c r="J7" s="1">
        <v>35</v>
      </c>
      <c r="K7" s="1" t="s">
        <v>21</v>
      </c>
      <c r="L7" s="1" t="s">
        <v>42</v>
      </c>
      <c r="M7" s="1">
        <v>63000</v>
      </c>
      <c r="N7" s="2">
        <v>35040</v>
      </c>
      <c r="O7" s="2">
        <v>41528</v>
      </c>
      <c r="P7" s="3" t="s">
        <v>43</v>
      </c>
    </row>
    <row r="8" spans="1:16">
      <c r="F8" s="1">
        <v>1007</v>
      </c>
      <c r="G8" s="1" t="s">
        <v>44</v>
      </c>
      <c r="H8" s="1" t="s">
        <v>45</v>
      </c>
      <c r="I8" t="s">
        <v>29</v>
      </c>
      <c r="J8" s="1">
        <v>32</v>
      </c>
      <c r="K8" s="1" t="s">
        <v>14</v>
      </c>
      <c r="L8" s="1" t="s">
        <v>37</v>
      </c>
      <c r="M8" s="1">
        <v>42000</v>
      </c>
      <c r="N8" s="2">
        <v>37933</v>
      </c>
      <c r="O8" s="2">
        <v>41551</v>
      </c>
      <c r="P8" s="3" t="s">
        <v>46</v>
      </c>
    </row>
    <row r="9" spans="1:16">
      <c r="F9" s="1">
        <v>1008</v>
      </c>
      <c r="G9" s="1" t="s">
        <v>47</v>
      </c>
      <c r="H9" s="1" t="s">
        <v>48</v>
      </c>
      <c r="I9" t="s">
        <v>49</v>
      </c>
      <c r="J9" s="1">
        <v>38</v>
      </c>
      <c r="K9" s="1" t="s">
        <v>21</v>
      </c>
      <c r="L9" s="1" t="s">
        <v>22</v>
      </c>
      <c r="M9" s="1">
        <v>48000</v>
      </c>
      <c r="N9" s="2">
        <v>37416</v>
      </c>
      <c r="O9" s="2">
        <v>42116</v>
      </c>
      <c r="P9" s="3" t="s">
        <v>50</v>
      </c>
    </row>
    <row r="10" spans="1:16">
      <c r="F10" s="1">
        <v>1009</v>
      </c>
      <c r="G10" s="1" t="s">
        <v>51</v>
      </c>
      <c r="H10" s="1" t="s">
        <v>52</v>
      </c>
      <c r="I10" t="s">
        <v>35</v>
      </c>
      <c r="J10" s="1">
        <v>31</v>
      </c>
      <c r="K10" s="1" t="s">
        <v>21</v>
      </c>
      <c r="L10" s="1" t="s">
        <v>37</v>
      </c>
      <c r="M10" s="1">
        <v>44000</v>
      </c>
      <c r="N10" s="2">
        <v>37843</v>
      </c>
      <c r="O10" s="2">
        <v>40800</v>
      </c>
      <c r="P10" s="3" t="s">
        <v>53</v>
      </c>
    </row>
  </sheetData>
  <hyperlinks>
    <hyperlink ref="P1" r:id="rId1" xr:uid="{494B6B18-5C73-4A48-98BA-BB4069F7B85D}"/>
    <hyperlink ref="P2" r:id="rId2" xr:uid="{55B03E74-E2A9-426A-ACB5-A6F257ED5691}"/>
    <hyperlink ref="P3" r:id="rId3" xr:uid="{67EF7A63-68C7-422C-A812-84904D426213}"/>
    <hyperlink ref="P4" r:id="rId4" xr:uid="{96D970E9-32CA-4AD3-8353-D1FD8119F3DD}"/>
    <hyperlink ref="P5" r:id="rId5" xr:uid="{E785F1AD-799B-45A9-BD78-D3C30BDD9BD6}"/>
    <hyperlink ref="P6" r:id="rId6" xr:uid="{122B1023-493A-4A4C-96F9-C0AE1C10AA55}"/>
    <hyperlink ref="P7" r:id="rId7" xr:uid="{00F53B12-14D5-40DD-BA41-E1E8825A26BC}"/>
    <hyperlink ref="P8" r:id="rId8" xr:uid="{34EDF0FA-A363-4E8E-BB0B-B0C418F5F821}"/>
    <hyperlink ref="P9" r:id="rId9" xr:uid="{30AA2840-41F1-4C27-AA9F-518B59FFEE99}"/>
    <hyperlink ref="P10" r:id="rId10" xr:uid="{787AB180-0C5D-4033-A9E9-497AD0031A9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C42C-BDFE-4929-A6AF-44F5960A89D2}">
  <dimension ref="A1:S4"/>
  <sheetViews>
    <sheetView workbookViewId="0">
      <selection activeCell="B2" sqref="B2"/>
    </sheetView>
  </sheetViews>
  <sheetFormatPr defaultRowHeight="15"/>
  <cols>
    <col min="1" max="1" width="12.85546875" bestFit="1" customWidth="1"/>
    <col min="7" max="7" width="12.85546875" bestFit="1" customWidth="1"/>
    <col min="16" max="16" width="10.42578125" bestFit="1" customWidth="1"/>
    <col min="18" max="18" width="10" bestFit="1" customWidth="1"/>
    <col min="19" max="19" width="9.85546875" bestFit="1" customWidth="1"/>
  </cols>
  <sheetData>
    <row r="1" spans="1:19">
      <c r="B1" t="s">
        <v>57</v>
      </c>
      <c r="H1" t="s">
        <v>58</v>
      </c>
      <c r="I1" t="s">
        <v>57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 t="s">
        <v>69</v>
      </c>
      <c r="B2">
        <f>_xlfn.XLOOKUP(I1,H1:S1,H2:S2)</f>
        <v>310</v>
      </c>
      <c r="G2" t="s">
        <v>69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70</v>
      </c>
      <c r="B3">
        <f t="shared" ref="B3:B4" si="0">_xlfn.XLOOKUP(I2,H2:S2,H3:S3)</f>
        <v>40</v>
      </c>
      <c r="G3" t="s">
        <v>70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71</v>
      </c>
      <c r="B4">
        <f t="shared" si="0"/>
        <v>118</v>
      </c>
      <c r="G4" t="s">
        <v>71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786E-BBE7-48DA-9959-4FA2F9A69C4E}">
  <dimension ref="A1:S7"/>
  <sheetViews>
    <sheetView workbookViewId="0">
      <selection activeCell="B7" sqref="B7"/>
    </sheetView>
  </sheetViews>
  <sheetFormatPr defaultRowHeight="15"/>
  <cols>
    <col min="1" max="1" width="12.85546875" bestFit="1" customWidth="1"/>
    <col min="2" max="2" width="36.5703125" bestFit="1" customWidth="1"/>
  </cols>
  <sheetData>
    <row r="1" spans="1:19">
      <c r="B1" t="s">
        <v>57</v>
      </c>
      <c r="H1" t="s">
        <v>58</v>
      </c>
      <c r="I1" t="s">
        <v>57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 t="s">
        <v>69</v>
      </c>
      <c r="B2">
        <f>_xlfn.XLOOKUP(I1,H1:S1,H2:S2)</f>
        <v>310</v>
      </c>
      <c r="G2" t="s">
        <v>69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70</v>
      </c>
      <c r="B3">
        <f t="shared" ref="B3:B4" si="0">_xlfn.XLOOKUP(I2,H2:S2,H3:S3)</f>
        <v>40</v>
      </c>
      <c r="G3" t="s">
        <v>70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72</v>
      </c>
      <c r="B4">
        <f t="shared" si="0"/>
        <v>118</v>
      </c>
      <c r="G4" t="s">
        <v>71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73</v>
      </c>
    </row>
    <row r="7" spans="1:19" ht="30.75">
      <c r="A7" t="s">
        <v>69</v>
      </c>
      <c r="B7" s="5">
        <f ca="1"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6BEB-B109-46A9-A0A8-DCFBBF5457CA}">
  <dimension ref="A1:O10"/>
  <sheetViews>
    <sheetView tabSelected="1" workbookViewId="0">
      <selection activeCell="B2" sqref="B2"/>
    </sheetView>
  </sheetViews>
  <sheetFormatPr defaultRowHeight="15"/>
  <cols>
    <col min="1" max="1" width="13.28515625" bestFit="1" customWidth="1"/>
    <col min="2" max="2" width="25.5703125" customWidth="1"/>
    <col min="8" max="8" width="14" customWidth="1"/>
    <col min="11" max="11" width="20.42578125" customWidth="1"/>
    <col min="13" max="13" width="12.7109375" customWidth="1"/>
    <col min="14" max="14" width="12.28515625" customWidth="1"/>
    <col min="15" max="15" width="25.42578125" customWidth="1"/>
  </cols>
  <sheetData>
    <row r="1" spans="1:15">
      <c r="E1" s="1" t="s">
        <v>0</v>
      </c>
      <c r="F1" s="1" t="s">
        <v>1</v>
      </c>
      <c r="G1" s="1" t="s">
        <v>2</v>
      </c>
      <c r="H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" t="s">
        <v>10</v>
      </c>
    </row>
    <row r="2" spans="1:15">
      <c r="A2" t="s">
        <v>3</v>
      </c>
      <c r="B2" t="s">
        <v>10</v>
      </c>
      <c r="E2" s="1">
        <v>1001</v>
      </c>
      <c r="F2" s="1" t="s">
        <v>11</v>
      </c>
      <c r="G2" s="1" t="s">
        <v>12</v>
      </c>
      <c r="H2" t="s">
        <v>13</v>
      </c>
      <c r="I2" s="1">
        <v>30</v>
      </c>
      <c r="J2" s="1" t="s">
        <v>14</v>
      </c>
      <c r="K2" s="1" t="s">
        <v>15</v>
      </c>
      <c r="L2" s="1">
        <v>36000</v>
      </c>
      <c r="M2" s="2">
        <v>37197</v>
      </c>
      <c r="N2" s="2">
        <v>42253</v>
      </c>
      <c r="O2" s="3" t="s">
        <v>16</v>
      </c>
    </row>
    <row r="3" spans="1:15">
      <c r="A3" t="s">
        <v>26</v>
      </c>
      <c r="B3" t="str">
        <f>VLOOKUP(A3,H2:O10,8,FALSE)</f>
        <v>hureembasit3@gmail.com</v>
      </c>
      <c r="E3" s="1">
        <v>1002</v>
      </c>
      <c r="F3" s="1" t="s">
        <v>18</v>
      </c>
      <c r="G3" s="1" t="s">
        <v>19</v>
      </c>
      <c r="H3" t="s">
        <v>20</v>
      </c>
      <c r="I3" s="1">
        <v>30</v>
      </c>
      <c r="J3" s="1" t="s">
        <v>21</v>
      </c>
      <c r="K3" s="1" t="s">
        <v>22</v>
      </c>
      <c r="L3" s="1">
        <v>45000</v>
      </c>
      <c r="M3" s="2">
        <v>36436</v>
      </c>
      <c r="N3" s="2">
        <v>42287</v>
      </c>
      <c r="O3" s="3" t="s">
        <v>23</v>
      </c>
    </row>
    <row r="4" spans="1:15">
      <c r="A4" t="s">
        <v>41</v>
      </c>
      <c r="B4" t="str">
        <f t="shared" ref="B4:B5" si="0">VLOOKUP(A4,H3:O11,8,FALSE)</f>
        <v>fahadmazhar65@gmail.com</v>
      </c>
      <c r="E4" s="1">
        <v>1003</v>
      </c>
      <c r="F4" s="1" t="s">
        <v>24</v>
      </c>
      <c r="G4" s="1" t="s">
        <v>25</v>
      </c>
      <c r="H4" t="s">
        <v>26</v>
      </c>
      <c r="I4" s="1">
        <v>29</v>
      </c>
      <c r="J4" s="1" t="s">
        <v>14</v>
      </c>
      <c r="K4" s="1" t="s">
        <v>27</v>
      </c>
      <c r="L4" s="1">
        <v>50000</v>
      </c>
      <c r="M4" s="2">
        <v>36711</v>
      </c>
      <c r="N4" s="2">
        <v>42986</v>
      </c>
      <c r="O4" s="3" t="s">
        <v>28</v>
      </c>
    </row>
    <row r="5" spans="1:15">
      <c r="A5" t="s">
        <v>49</v>
      </c>
      <c r="B5" t="str">
        <f t="shared" si="0"/>
        <v>tahirahmed456@gmail.com</v>
      </c>
      <c r="E5" s="1">
        <v>1004</v>
      </c>
      <c r="F5" s="1" t="s">
        <v>30</v>
      </c>
      <c r="G5" s="1" t="s">
        <v>31</v>
      </c>
      <c r="H5" t="s">
        <v>32</v>
      </c>
      <c r="I5" s="1">
        <v>31</v>
      </c>
      <c r="J5" s="1" t="s">
        <v>21</v>
      </c>
      <c r="K5" s="1" t="s">
        <v>33</v>
      </c>
      <c r="L5" s="1">
        <v>65000</v>
      </c>
      <c r="M5" s="2">
        <v>36530</v>
      </c>
      <c r="N5" s="2">
        <v>42341</v>
      </c>
      <c r="O5" s="3" t="s">
        <v>34</v>
      </c>
    </row>
    <row r="6" spans="1:15">
      <c r="E6" s="1">
        <v>1005</v>
      </c>
      <c r="F6" s="1" t="s">
        <v>36</v>
      </c>
      <c r="G6" s="1" t="s">
        <v>19</v>
      </c>
      <c r="H6" t="s">
        <v>17</v>
      </c>
      <c r="I6" s="1">
        <v>32</v>
      </c>
      <c r="J6" s="1" t="s">
        <v>21</v>
      </c>
      <c r="K6" s="1" t="s">
        <v>37</v>
      </c>
      <c r="L6" s="1">
        <v>47000</v>
      </c>
      <c r="M6" s="2">
        <v>37017</v>
      </c>
      <c r="N6" s="2">
        <v>42977</v>
      </c>
      <c r="O6" s="3" t="s">
        <v>38</v>
      </c>
    </row>
    <row r="7" spans="1:15">
      <c r="E7" s="1">
        <v>1006</v>
      </c>
      <c r="F7" s="1" t="s">
        <v>39</v>
      </c>
      <c r="G7" s="1" t="s">
        <v>40</v>
      </c>
      <c r="H7" t="s">
        <v>41</v>
      </c>
      <c r="I7" s="1">
        <v>35</v>
      </c>
      <c r="J7" s="1" t="s">
        <v>21</v>
      </c>
      <c r="K7" s="1" t="s">
        <v>42</v>
      </c>
      <c r="L7" s="1">
        <v>63000</v>
      </c>
      <c r="M7" s="2">
        <v>35040</v>
      </c>
      <c r="N7" s="2">
        <v>41528</v>
      </c>
      <c r="O7" s="3" t="s">
        <v>43</v>
      </c>
    </row>
    <row r="8" spans="1:15">
      <c r="E8" s="1">
        <v>1007</v>
      </c>
      <c r="F8" s="1" t="s">
        <v>44</v>
      </c>
      <c r="G8" s="1" t="s">
        <v>45</v>
      </c>
      <c r="H8" t="s">
        <v>29</v>
      </c>
      <c r="I8" s="1">
        <v>32</v>
      </c>
      <c r="J8" s="1" t="s">
        <v>14</v>
      </c>
      <c r="K8" s="1" t="s">
        <v>37</v>
      </c>
      <c r="L8" s="1">
        <v>42000</v>
      </c>
      <c r="M8" s="2">
        <v>37933</v>
      </c>
      <c r="N8" s="2">
        <v>41551</v>
      </c>
      <c r="O8" s="3" t="s">
        <v>46</v>
      </c>
    </row>
    <row r="9" spans="1:15">
      <c r="E9" s="1">
        <v>1008</v>
      </c>
      <c r="F9" s="1" t="s">
        <v>47</v>
      </c>
      <c r="G9" s="1" t="s">
        <v>48</v>
      </c>
      <c r="H9" t="s">
        <v>49</v>
      </c>
      <c r="I9" s="1">
        <v>38</v>
      </c>
      <c r="J9" s="1" t="s">
        <v>21</v>
      </c>
      <c r="K9" s="1" t="s">
        <v>22</v>
      </c>
      <c r="L9" s="1">
        <v>48000</v>
      </c>
      <c r="M9" s="2">
        <v>37416</v>
      </c>
      <c r="N9" s="2">
        <v>42116</v>
      </c>
      <c r="O9" s="3" t="s">
        <v>50</v>
      </c>
    </row>
    <row r="10" spans="1:15">
      <c r="E10" s="1">
        <v>1009</v>
      </c>
      <c r="F10" s="1" t="s">
        <v>51</v>
      </c>
      <c r="G10" s="1" t="s">
        <v>52</v>
      </c>
      <c r="H10" t="s">
        <v>35</v>
      </c>
      <c r="I10" s="1">
        <v>31</v>
      </c>
      <c r="J10" s="1" t="s">
        <v>21</v>
      </c>
      <c r="K10" s="1" t="s">
        <v>37</v>
      </c>
      <c r="L10" s="1">
        <v>44000</v>
      </c>
      <c r="M10" s="2">
        <v>37843</v>
      </c>
      <c r="N10" s="2">
        <v>40800</v>
      </c>
      <c r="O10" s="3" t="s">
        <v>53</v>
      </c>
    </row>
  </sheetData>
  <hyperlinks>
    <hyperlink ref="O1" r:id="rId1" xr:uid="{BF6E5017-FFC5-4352-A6A3-1CA7F4EADE6C}"/>
    <hyperlink ref="O2" r:id="rId2" xr:uid="{594365D8-EC29-458C-9D31-616EF70E4394}"/>
    <hyperlink ref="O3" r:id="rId3" xr:uid="{64F3C801-32AC-4D40-8D2E-7797134B4F95}"/>
    <hyperlink ref="O4" r:id="rId4" xr:uid="{127686B5-B426-49ED-833C-99493246A4AD}"/>
    <hyperlink ref="O5" r:id="rId5" xr:uid="{75FB3B76-B13B-4054-AD81-EFEA46F16DB8}"/>
    <hyperlink ref="O6" r:id="rId6" xr:uid="{B9501EE4-8660-46DA-9383-11A22BB7CC48}"/>
    <hyperlink ref="O7" r:id="rId7" xr:uid="{ADA0B164-9F79-4C9B-AC3D-CA6205F96C8C}"/>
    <hyperlink ref="O8" r:id="rId8" xr:uid="{9A15815D-7FC5-47B4-977F-CD3449B691B1}"/>
    <hyperlink ref="O9" r:id="rId9" xr:uid="{27644794-A01D-4438-BCFE-D795FB136FB5}"/>
    <hyperlink ref="O10" r:id="rId10" xr:uid="{19BCF63F-AC5A-4789-8711-1196076345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2026-02-19T07:18:38Z</dcterms:created>
  <dcterms:modified xsi:type="dcterms:W3CDTF">2026-02-19T08:50:29Z</dcterms:modified>
  <cp:category/>
  <cp:contentStatus/>
</cp:coreProperties>
</file>