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30" windowWidth="16275" windowHeight="8010" activeTab="1"/>
  </bookViews>
  <sheets>
    <sheet name="RawData" sheetId="1" r:id="rId1"/>
    <sheet name="Formulas_Practice" sheetId="2" r:id="rId2"/>
  </sheets>
  <calcPr calcId="125725"/>
</workbook>
</file>

<file path=xl/calcChain.xml><?xml version="1.0" encoding="utf-8"?>
<calcChain xmlns="http://schemas.openxmlformats.org/spreadsheetml/2006/main">
  <c r="AE2" i="2"/>
  <c r="AD2"/>
  <c r="AC2"/>
  <c r="AB2"/>
  <c r="AA2"/>
  <c r="Z2"/>
  <c r="Y2"/>
  <c r="X3"/>
  <c r="X4"/>
  <c r="X5"/>
  <c r="X6"/>
  <c r="X7"/>
  <c r="X8"/>
  <c r="X9"/>
  <c r="X10"/>
  <c r="X2"/>
  <c r="W3"/>
  <c r="W4"/>
  <c r="W5"/>
  <c r="W6"/>
  <c r="W7"/>
  <c r="W8"/>
  <c r="W9"/>
  <c r="W10"/>
  <c r="W2"/>
  <c r="V2"/>
  <c r="V3"/>
  <c r="V4"/>
  <c r="V5"/>
  <c r="V6"/>
  <c r="V7"/>
  <c r="V8"/>
  <c r="V9"/>
  <c r="V10"/>
  <c r="U3"/>
  <c r="U4"/>
  <c r="U5"/>
  <c r="U6"/>
  <c r="U7"/>
  <c r="U8"/>
  <c r="U9"/>
  <c r="U10"/>
  <c r="U2"/>
  <c r="T3"/>
  <c r="T9"/>
  <c r="T7"/>
  <c r="T5"/>
  <c r="T4"/>
  <c r="T6"/>
  <c r="T8"/>
  <c r="T10"/>
  <c r="T2"/>
  <c r="S3"/>
  <c r="S4"/>
  <c r="S5"/>
  <c r="S6"/>
  <c r="S7"/>
  <c r="S8"/>
  <c r="S9"/>
  <c r="S10"/>
  <c r="S2"/>
  <c r="R3"/>
  <c r="R4"/>
  <c r="R5"/>
  <c r="R6"/>
  <c r="R7"/>
  <c r="R8"/>
  <c r="R9"/>
  <c r="R10"/>
  <c r="R2"/>
  <c r="Q10"/>
  <c r="Q9"/>
  <c r="Q8"/>
  <c r="Q7"/>
  <c r="Q6"/>
  <c r="Q5"/>
  <c r="Q4"/>
  <c r="Q3"/>
  <c r="Q2"/>
  <c r="P3"/>
  <c r="P4"/>
  <c r="P5"/>
  <c r="P6"/>
  <c r="P7"/>
  <c r="P8"/>
  <c r="P9"/>
  <c r="P10"/>
  <c r="P2"/>
  <c r="O3"/>
  <c r="O4"/>
  <c r="O5"/>
  <c r="O6"/>
  <c r="O7"/>
  <c r="O8"/>
  <c r="O9"/>
  <c r="O10"/>
  <c r="O2"/>
  <c r="N3"/>
  <c r="N4"/>
  <c r="N5"/>
  <c r="N6"/>
  <c r="N7"/>
  <c r="N8"/>
  <c r="N9"/>
  <c r="N10"/>
  <c r="N2"/>
  <c r="M3"/>
  <c r="M4"/>
  <c r="M5"/>
  <c r="M6"/>
  <c r="M7"/>
  <c r="M8"/>
  <c r="M9"/>
  <c r="M10"/>
  <c r="M2"/>
  <c r="L3"/>
  <c r="K3"/>
  <c r="L2"/>
  <c r="K2"/>
</calcChain>
</file>

<file path=xl/sharedStrings.xml><?xml version="1.0" encoding="utf-8"?>
<sst xmlns="http://schemas.openxmlformats.org/spreadsheetml/2006/main" count="121" uniqueCount="72">
  <si>
    <t xml:space="preserve">Employee ID </t>
  </si>
  <si>
    <t>First Name</t>
  </si>
  <si>
    <t>Last Name</t>
  </si>
  <si>
    <t>Age</t>
  </si>
  <si>
    <t>Gender</t>
  </si>
  <si>
    <t>JobTitle</t>
  </si>
  <si>
    <t>Salary</t>
  </si>
  <si>
    <t>StartDate</t>
  </si>
  <si>
    <t>EndDate</t>
  </si>
  <si>
    <t>Ali</t>
  </si>
  <si>
    <t>Hasan</t>
  </si>
  <si>
    <t>Awais</t>
  </si>
  <si>
    <t>Huzaifa</t>
  </si>
  <si>
    <t>Fahad</t>
  </si>
  <si>
    <t>Tahir</t>
  </si>
  <si>
    <t>Jamal</t>
  </si>
  <si>
    <t>Fayaz</t>
  </si>
  <si>
    <t>Mazhar</t>
  </si>
  <si>
    <t>Amir</t>
  </si>
  <si>
    <t>Ahmed</t>
  </si>
  <si>
    <t>Arif</t>
  </si>
  <si>
    <t>Alia</t>
  </si>
  <si>
    <t>Hureem</t>
  </si>
  <si>
    <t>Walija</t>
  </si>
  <si>
    <t>Basit</t>
  </si>
  <si>
    <t>Noor</t>
  </si>
  <si>
    <t>Female</t>
  </si>
  <si>
    <t>Male</t>
  </si>
  <si>
    <t>Receptionist</t>
  </si>
  <si>
    <t>HR</t>
  </si>
  <si>
    <t>Accountant</t>
  </si>
  <si>
    <t>Salesman</t>
  </si>
  <si>
    <t>Regional Manager</t>
  </si>
  <si>
    <t>Relationship Manager</t>
  </si>
  <si>
    <t>Max</t>
  </si>
  <si>
    <t>Min</t>
  </si>
  <si>
    <t>IF</t>
  </si>
  <si>
    <t>Email</t>
  </si>
  <si>
    <t>alianoor23@gmail.com</t>
  </si>
  <si>
    <t>hasanali46@gmail.com</t>
  </si>
  <si>
    <t>hureembasit3@gmail.com</t>
  </si>
  <si>
    <t>huzaifaali32@gmail.com</t>
  </si>
  <si>
    <t>fahadmazhar65@gmail.com</t>
  </si>
  <si>
    <t>walijaamir38@gmail.com</t>
  </si>
  <si>
    <t>tahirahmed456@gmail.com</t>
  </si>
  <si>
    <t>awaisfayaz232@gmail.com</t>
  </si>
  <si>
    <t>jamalarif789@gmail.com</t>
  </si>
  <si>
    <t>Left</t>
  </si>
  <si>
    <t>Right</t>
  </si>
  <si>
    <t>Date To Text</t>
  </si>
  <si>
    <t>Len</t>
  </si>
  <si>
    <t>TRIM</t>
  </si>
  <si>
    <t xml:space="preserve">  Noor</t>
  </si>
  <si>
    <t xml:space="preserve">  Basit</t>
  </si>
  <si>
    <t xml:space="preserve">Fayaz </t>
  </si>
  <si>
    <t xml:space="preserve">  Ali</t>
  </si>
  <si>
    <t xml:space="preserve">Mazhar </t>
  </si>
  <si>
    <t xml:space="preserve">  Amir</t>
  </si>
  <si>
    <t xml:space="preserve">Ahmed </t>
  </si>
  <si>
    <t xml:space="preserve"> Arif</t>
  </si>
  <si>
    <t>CONCATENATE</t>
  </si>
  <si>
    <t>CONCATENATE EMAIL</t>
  </si>
  <si>
    <t>Substitute with 1 instance</t>
  </si>
  <si>
    <t>with 2 instances</t>
  </si>
  <si>
    <t>with NO instance</t>
  </si>
  <si>
    <t>SUM</t>
  </si>
  <si>
    <t>SUMIF</t>
  </si>
  <si>
    <t>SUMIFS</t>
  </si>
  <si>
    <t>COUNT</t>
  </si>
  <si>
    <t>COUNTIF</t>
  </si>
  <si>
    <t>COUNTIFS</t>
  </si>
  <si>
    <t>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</si>
</sst>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14" fontId="0" fillId="0" borderId="0" xfId="0" applyNumberFormat="1"/>
    <xf numFmtId="0" fontId="1" fillId="0" borderId="0" xfId="1" applyAlignment="1" applyProtection="1"/>
    <xf numFmtId="2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walijaamir38@gmail.com" TargetMode="External"/><Relationship Id="rId3" Type="http://schemas.openxmlformats.org/officeDocument/2006/relationships/hyperlink" Target="mailto:hasanali46@gmail.com" TargetMode="External"/><Relationship Id="rId7" Type="http://schemas.openxmlformats.org/officeDocument/2006/relationships/hyperlink" Target="mailto:fahadmazhar65@gmail.com" TargetMode="External"/><Relationship Id="rId2" Type="http://schemas.openxmlformats.org/officeDocument/2006/relationships/hyperlink" Target="mailto:alianoor23@gmail.com" TargetMode="External"/><Relationship Id="rId1" Type="http://schemas.openxmlformats.org/officeDocument/2006/relationships/hyperlink" Target="mailto:Alianoor123@gmail.com" TargetMode="External"/><Relationship Id="rId6" Type="http://schemas.openxmlformats.org/officeDocument/2006/relationships/hyperlink" Target="mailto:huzaifaali32@gmail.com" TargetMode="External"/><Relationship Id="rId5" Type="http://schemas.openxmlformats.org/officeDocument/2006/relationships/hyperlink" Target="mailto:awaisfayaz232@gmail.com" TargetMode="External"/><Relationship Id="rId10" Type="http://schemas.openxmlformats.org/officeDocument/2006/relationships/hyperlink" Target="mailto:jamalarif789@gmail.com" TargetMode="External"/><Relationship Id="rId4" Type="http://schemas.openxmlformats.org/officeDocument/2006/relationships/hyperlink" Target="mailto:hureembasit3@gmail.com" TargetMode="External"/><Relationship Id="rId9" Type="http://schemas.openxmlformats.org/officeDocument/2006/relationships/hyperlink" Target="mailto:tahirahmed456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0"/>
  <sheetViews>
    <sheetView workbookViewId="0">
      <selection activeCell="J1" sqref="J1"/>
    </sheetView>
  </sheetViews>
  <sheetFormatPr defaultRowHeight="15"/>
  <cols>
    <col min="1" max="1" width="12.7109375" customWidth="1"/>
    <col min="2" max="2" width="12" customWidth="1"/>
    <col min="3" max="3" width="11.7109375" customWidth="1"/>
    <col min="4" max="4" width="10.85546875" customWidth="1"/>
    <col min="5" max="5" width="11.7109375" customWidth="1"/>
    <col min="6" max="6" width="20.140625" customWidth="1"/>
    <col min="7" max="7" width="12" customWidth="1"/>
    <col min="8" max="8" width="15" customWidth="1"/>
    <col min="9" max="9" width="15.140625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1001</v>
      </c>
      <c r="B2" t="s">
        <v>21</v>
      </c>
      <c r="C2" t="s">
        <v>25</v>
      </c>
      <c r="D2">
        <v>30</v>
      </c>
      <c r="E2" t="s">
        <v>26</v>
      </c>
      <c r="F2" t="s">
        <v>28</v>
      </c>
      <c r="G2">
        <v>36000</v>
      </c>
      <c r="H2" s="1">
        <v>37197</v>
      </c>
      <c r="I2" s="1">
        <v>42253</v>
      </c>
    </row>
    <row r="3" spans="1:9">
      <c r="A3">
        <v>1002</v>
      </c>
      <c r="B3" t="s">
        <v>10</v>
      </c>
      <c r="C3" t="s">
        <v>9</v>
      </c>
      <c r="D3">
        <v>30</v>
      </c>
      <c r="E3" t="s">
        <v>27</v>
      </c>
      <c r="F3" t="s">
        <v>31</v>
      </c>
      <c r="G3">
        <v>45000</v>
      </c>
      <c r="H3" s="1">
        <v>36436</v>
      </c>
      <c r="I3" s="1">
        <v>42287</v>
      </c>
    </row>
    <row r="4" spans="1:9">
      <c r="A4">
        <v>1003</v>
      </c>
      <c r="B4" t="s">
        <v>22</v>
      </c>
      <c r="C4" t="s">
        <v>24</v>
      </c>
      <c r="D4">
        <v>29</v>
      </c>
      <c r="E4" t="s">
        <v>26</v>
      </c>
      <c r="F4" t="s">
        <v>29</v>
      </c>
      <c r="G4">
        <v>50000</v>
      </c>
      <c r="H4" s="1">
        <v>36711</v>
      </c>
      <c r="I4" s="1">
        <v>42986</v>
      </c>
    </row>
    <row r="5" spans="1:9">
      <c r="A5">
        <v>1004</v>
      </c>
      <c r="B5" t="s">
        <v>11</v>
      </c>
      <c r="C5" t="s">
        <v>16</v>
      </c>
      <c r="D5">
        <v>31</v>
      </c>
      <c r="E5" t="s">
        <v>27</v>
      </c>
      <c r="F5" t="s">
        <v>32</v>
      </c>
      <c r="G5">
        <v>65000</v>
      </c>
      <c r="H5" s="1">
        <v>36530</v>
      </c>
      <c r="I5" s="1">
        <v>42341</v>
      </c>
    </row>
    <row r="6" spans="1:9">
      <c r="A6">
        <v>1005</v>
      </c>
      <c r="B6" t="s">
        <v>12</v>
      </c>
      <c r="C6" t="s">
        <v>9</v>
      </c>
      <c r="D6">
        <v>32</v>
      </c>
      <c r="E6" t="s">
        <v>27</v>
      </c>
      <c r="F6" t="s">
        <v>30</v>
      </c>
      <c r="G6">
        <v>47000</v>
      </c>
      <c r="H6" s="1">
        <v>37017</v>
      </c>
      <c r="I6" s="1">
        <v>42977</v>
      </c>
    </row>
    <row r="7" spans="1:9">
      <c r="A7">
        <v>1006</v>
      </c>
      <c r="B7" t="s">
        <v>13</v>
      </c>
      <c r="C7" t="s">
        <v>17</v>
      </c>
      <c r="D7">
        <v>35</v>
      </c>
      <c r="E7" t="s">
        <v>27</v>
      </c>
      <c r="F7" t="s">
        <v>33</v>
      </c>
      <c r="G7">
        <v>63000</v>
      </c>
      <c r="H7" s="1">
        <v>35040</v>
      </c>
      <c r="I7" s="1">
        <v>41528</v>
      </c>
    </row>
    <row r="8" spans="1:9">
      <c r="A8">
        <v>1007</v>
      </c>
      <c r="B8" t="s">
        <v>23</v>
      </c>
      <c r="C8" t="s">
        <v>18</v>
      </c>
      <c r="D8">
        <v>32</v>
      </c>
      <c r="E8" t="s">
        <v>26</v>
      </c>
      <c r="F8" t="s">
        <v>30</v>
      </c>
      <c r="G8">
        <v>42000</v>
      </c>
      <c r="H8" s="1">
        <v>37933</v>
      </c>
      <c r="I8" s="1">
        <v>41551</v>
      </c>
    </row>
    <row r="9" spans="1:9">
      <c r="A9">
        <v>1008</v>
      </c>
      <c r="B9" t="s">
        <v>14</v>
      </c>
      <c r="C9" t="s">
        <v>19</v>
      </c>
      <c r="D9">
        <v>38</v>
      </c>
      <c r="E9" t="s">
        <v>27</v>
      </c>
      <c r="F9" t="s">
        <v>31</v>
      </c>
      <c r="G9">
        <v>48000</v>
      </c>
      <c r="H9" s="1">
        <v>37416</v>
      </c>
      <c r="I9" s="1">
        <v>42116</v>
      </c>
    </row>
    <row r="10" spans="1:9">
      <c r="A10">
        <v>1009</v>
      </c>
      <c r="B10" t="s">
        <v>15</v>
      </c>
      <c r="C10" t="s">
        <v>20</v>
      </c>
      <c r="D10">
        <v>31</v>
      </c>
      <c r="E10" t="s">
        <v>27</v>
      </c>
      <c r="F10" t="s">
        <v>30</v>
      </c>
      <c r="G10">
        <v>44000</v>
      </c>
      <c r="H10" s="1">
        <v>37843</v>
      </c>
      <c r="I10" s="1">
        <v>40800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E10"/>
  <sheetViews>
    <sheetView tabSelected="1" topLeftCell="AC1" workbookViewId="0">
      <selection activeCell="AF1" sqref="AF1"/>
    </sheetView>
  </sheetViews>
  <sheetFormatPr defaultRowHeight="15"/>
  <cols>
    <col min="1" max="1" width="11.5703125" customWidth="1"/>
    <col min="2" max="2" width="11.140625" customWidth="1"/>
    <col min="3" max="3" width="11.85546875" customWidth="1"/>
    <col min="6" max="6" width="22" customWidth="1"/>
    <col min="8" max="8" width="11.28515625" customWidth="1"/>
    <col min="9" max="9" width="12.28515625" customWidth="1"/>
    <col min="10" max="10" width="25.42578125" customWidth="1"/>
    <col min="11" max="11" width="14.5703125" customWidth="1"/>
    <col min="12" max="12" width="10.85546875" customWidth="1"/>
    <col min="17" max="17" width="14.28515625" customWidth="1"/>
    <col min="20" max="20" width="15" customWidth="1"/>
    <col min="21" max="21" width="25" customWidth="1"/>
    <col min="22" max="22" width="23.42578125" customWidth="1"/>
    <col min="23" max="23" width="18.28515625" customWidth="1"/>
    <col min="24" max="24" width="16.85546875" customWidth="1"/>
    <col min="25" max="25" width="12.42578125" customWidth="1"/>
    <col min="26" max="26" width="11.42578125" customWidth="1"/>
    <col min="30" max="30" width="11.28515625" customWidth="1"/>
    <col min="31" max="31" width="15.28515625" customWidth="1"/>
    <col min="32" max="32" width="15.140625" customWidth="1"/>
  </cols>
  <sheetData>
    <row r="1" spans="1:3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2" t="s">
        <v>37</v>
      </c>
      <c r="K1" t="s">
        <v>34</v>
      </c>
      <c r="L1" t="s">
        <v>35</v>
      </c>
      <c r="M1" t="s">
        <v>36</v>
      </c>
      <c r="N1" t="s">
        <v>50</v>
      </c>
      <c r="O1" t="s">
        <v>47</v>
      </c>
      <c r="P1" t="s">
        <v>48</v>
      </c>
      <c r="Q1" t="s">
        <v>49</v>
      </c>
      <c r="R1" t="s">
        <v>48</v>
      </c>
      <c r="S1" t="s">
        <v>51</v>
      </c>
      <c r="T1" t="s">
        <v>60</v>
      </c>
      <c r="U1" t="s">
        <v>61</v>
      </c>
      <c r="V1" t="s">
        <v>62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</row>
    <row r="2" spans="1:31">
      <c r="A2">
        <v>1001</v>
      </c>
      <c r="B2" t="s">
        <v>21</v>
      </c>
      <c r="C2" t="s">
        <v>52</v>
      </c>
      <c r="D2">
        <v>30</v>
      </c>
      <c r="E2" t="s">
        <v>26</v>
      </c>
      <c r="F2" t="s">
        <v>28</v>
      </c>
      <c r="G2">
        <v>36000</v>
      </c>
      <c r="H2" s="1">
        <v>37197</v>
      </c>
      <c r="I2" s="1">
        <v>42253</v>
      </c>
      <c r="J2" s="2" t="s">
        <v>38</v>
      </c>
      <c r="K2" s="1">
        <f>MAX(H2:H10)</f>
        <v>37933</v>
      </c>
      <c r="L2" s="1">
        <f>MIN(H2:H10)</f>
        <v>35040</v>
      </c>
      <c r="M2" t="str">
        <f>IF(D2:D10&gt;30,"Old","Young")</f>
        <v>Young</v>
      </c>
      <c r="N2">
        <f>LEN(C2:C10)</f>
        <v>6</v>
      </c>
      <c r="O2" t="str">
        <f>LEFT(B2:B10,3)</f>
        <v>Ali</v>
      </c>
      <c r="P2" t="str">
        <f>RIGHT(A2:A10,1)</f>
        <v>1</v>
      </c>
      <c r="Q2" t="str">
        <f>TEXT(H2:H10,"dd/mm/yyyy")</f>
        <v>02/11/2001</v>
      </c>
      <c r="R2" t="str">
        <f>RIGHT(Q2:Q10,4)</f>
        <v>2001</v>
      </c>
      <c r="S2" t="str">
        <f>TRIM(C2:C10)</f>
        <v>Noor</v>
      </c>
      <c r="T2" t="str">
        <f>CONCATENATE(B2,"",C2)</f>
        <v>Alia  Noor</v>
      </c>
      <c r="U2" t="str">
        <f>CONCATENATE(B2,C2,"@gmail.com")</f>
        <v>Alia  Noor@gmail.com</v>
      </c>
      <c r="V2" t="str">
        <f t="shared" ref="V2:V10" si="0">SUBSTITUTE(Q2:Q10,"/","-",1)</f>
        <v>02-11/2001</v>
      </c>
      <c r="W2" t="str">
        <f>SUBSTITUTE(Q2:Q10,"/","-",2)</f>
        <v>02/11-2001</v>
      </c>
      <c r="X2" t="str">
        <f>SUBSTITUTE(Q2:Q10,"/","-")</f>
        <v>02-11-2001</v>
      </c>
      <c r="Y2">
        <f>SUM(G2:G10)</f>
        <v>440000</v>
      </c>
      <c r="Z2">
        <f>SUMIF(G2:G10,"&gt;50000")</f>
        <v>128000</v>
      </c>
      <c r="AA2">
        <f>SUMIFS(G2:G10,E2:E10,"Female",D2:D10,"&gt;30")</f>
        <v>42000</v>
      </c>
      <c r="AB2">
        <f>COUNT(G2:G10)</f>
        <v>9</v>
      </c>
      <c r="AC2">
        <f>COUNTIF(G2:G10,"&gt;45000")</f>
        <v>5</v>
      </c>
      <c r="AD2">
        <f>COUNTIFS(A2:A10,"&gt;1005",E2:E10,"Male")</f>
        <v>3</v>
      </c>
      <c r="AE2" s="3">
        <f>AVERAGE(G2:G10)</f>
        <v>48888.888888888891</v>
      </c>
    </row>
    <row r="3" spans="1:31">
      <c r="A3">
        <v>1002</v>
      </c>
      <c r="B3" t="s">
        <v>10</v>
      </c>
      <c r="C3" t="s">
        <v>9</v>
      </c>
      <c r="D3">
        <v>30</v>
      </c>
      <c r="E3" t="s">
        <v>27</v>
      </c>
      <c r="F3" t="s">
        <v>31</v>
      </c>
      <c r="G3">
        <v>45000</v>
      </c>
      <c r="H3" s="1">
        <v>36436</v>
      </c>
      <c r="I3" s="1">
        <v>42287</v>
      </c>
      <c r="J3" s="2" t="s">
        <v>39</v>
      </c>
      <c r="K3">
        <f>MAX(G2:G10)</f>
        <v>65000</v>
      </c>
      <c r="L3">
        <f>MIN(G2:G10)</f>
        <v>36000</v>
      </c>
      <c r="M3" t="str">
        <f>IF(D3:D11&gt;30,"Old","Young")</f>
        <v>Young</v>
      </c>
      <c r="N3">
        <f>LEN(C3:C11)</f>
        <v>3</v>
      </c>
      <c r="O3" t="str">
        <f t="shared" ref="O3:O10" si="1">LEFT(B3:B11,3)</f>
        <v>Has</v>
      </c>
      <c r="P3" t="str">
        <f t="shared" ref="P3:P10" si="2">RIGHT(A3:A11,1)</f>
        <v>2</v>
      </c>
      <c r="Q3" t="str">
        <f t="shared" ref="Q3:Q10" si="3">TEXT(H3:H11,"dd/mm/yyyy")</f>
        <v>03/10/1999</v>
      </c>
      <c r="R3" t="str">
        <f t="shared" ref="R3:R10" si="4">RIGHT(Q3:Q11,4)</f>
        <v>1999</v>
      </c>
      <c r="S3" t="str">
        <f t="shared" ref="S3:S10" si="5">TRIM(C3:C11)</f>
        <v>Ali</v>
      </c>
      <c r="T3" t="str">
        <f>CONCATENATE(B3," ",C3)</f>
        <v>Hasan Ali</v>
      </c>
      <c r="U3" t="str">
        <f t="shared" ref="U3:U10" si="6">CONCATENATE(B3,C3,"@gmail.com")</f>
        <v>HasanAli@gmail.com</v>
      </c>
      <c r="V3" t="str">
        <f t="shared" si="0"/>
        <v>03-10/1999</v>
      </c>
      <c r="W3" t="str">
        <f t="shared" ref="W3:W10" si="7">SUBSTITUTE(Q3:Q11,"/","-",2)</f>
        <v>03/10-1999</v>
      </c>
      <c r="X3" t="str">
        <f t="shared" ref="X3:X10" si="8">SUBSTITUTE(Q3:Q11,"/","-")</f>
        <v>03-10-1999</v>
      </c>
    </row>
    <row r="4" spans="1:31">
      <c r="A4">
        <v>1003</v>
      </c>
      <c r="B4" t="s">
        <v>22</v>
      </c>
      <c r="C4" t="s">
        <v>53</v>
      </c>
      <c r="D4">
        <v>29</v>
      </c>
      <c r="E4" t="s">
        <v>26</v>
      </c>
      <c r="F4" t="s">
        <v>29</v>
      </c>
      <c r="G4">
        <v>50000</v>
      </c>
      <c r="H4" s="1">
        <v>36711</v>
      </c>
      <c r="I4" s="1">
        <v>42986</v>
      </c>
      <c r="J4" s="2" t="s">
        <v>40</v>
      </c>
      <c r="M4" t="str">
        <f>IF(D4:D12&gt;30,"Old","Young")</f>
        <v>Young</v>
      </c>
      <c r="N4">
        <f>LEN(C4:C12)</f>
        <v>7</v>
      </c>
      <c r="O4" t="str">
        <f t="shared" si="1"/>
        <v>Hur</v>
      </c>
      <c r="P4" t="str">
        <f t="shared" si="2"/>
        <v>3</v>
      </c>
      <c r="Q4" t="str">
        <f t="shared" si="3"/>
        <v>04/07/2000</v>
      </c>
      <c r="R4" t="str">
        <f t="shared" si="4"/>
        <v>2000</v>
      </c>
      <c r="S4" t="str">
        <f t="shared" si="5"/>
        <v>Basit</v>
      </c>
      <c r="T4" t="str">
        <f t="shared" ref="T3:T10" si="9">CONCATENATE(B4,"",C4)</f>
        <v>Hureem  Basit</v>
      </c>
      <c r="U4" t="str">
        <f t="shared" si="6"/>
        <v>Hureem  Basit@gmail.com</v>
      </c>
      <c r="V4" t="str">
        <f t="shared" si="0"/>
        <v>04-07/2000</v>
      </c>
      <c r="W4" t="str">
        <f t="shared" si="7"/>
        <v>04/07-2000</v>
      </c>
      <c r="X4" t="str">
        <f t="shared" si="8"/>
        <v>04-07-2000</v>
      </c>
    </row>
    <row r="5" spans="1:31">
      <c r="A5">
        <v>1004</v>
      </c>
      <c r="B5" t="s">
        <v>11</v>
      </c>
      <c r="C5" t="s">
        <v>54</v>
      </c>
      <c r="D5">
        <v>31</v>
      </c>
      <c r="E5" t="s">
        <v>27</v>
      </c>
      <c r="F5" t="s">
        <v>32</v>
      </c>
      <c r="G5">
        <v>65000</v>
      </c>
      <c r="H5" s="1">
        <v>36530</v>
      </c>
      <c r="I5" s="1">
        <v>42341</v>
      </c>
      <c r="J5" s="2" t="s">
        <v>45</v>
      </c>
      <c r="M5" t="str">
        <f>IF(D5:D13&gt;30,"Old","Young")</f>
        <v>Old</v>
      </c>
      <c r="N5">
        <f>LEN(C5:C13)</f>
        <v>6</v>
      </c>
      <c r="O5" t="str">
        <f t="shared" si="1"/>
        <v>Awa</v>
      </c>
      <c r="P5" t="str">
        <f t="shared" si="2"/>
        <v>4</v>
      </c>
      <c r="Q5" t="str">
        <f t="shared" si="3"/>
        <v>05/01/2000</v>
      </c>
      <c r="R5" t="str">
        <f t="shared" si="4"/>
        <v>2000</v>
      </c>
      <c r="S5" t="str">
        <f t="shared" si="5"/>
        <v>Fayaz</v>
      </c>
      <c r="T5" t="str">
        <f>CONCATENATE(B5," ",C5)</f>
        <v xml:space="preserve">Awais Fayaz </v>
      </c>
      <c r="U5" t="str">
        <f t="shared" si="6"/>
        <v>AwaisFayaz @gmail.com</v>
      </c>
      <c r="V5" t="str">
        <f t="shared" si="0"/>
        <v>05-01/2000</v>
      </c>
      <c r="W5" t="str">
        <f t="shared" si="7"/>
        <v>05/01-2000</v>
      </c>
      <c r="X5" t="str">
        <f t="shared" si="8"/>
        <v>05-01-2000</v>
      </c>
    </row>
    <row r="6" spans="1:31">
      <c r="A6">
        <v>1005</v>
      </c>
      <c r="B6" t="s">
        <v>12</v>
      </c>
      <c r="C6" t="s">
        <v>55</v>
      </c>
      <c r="D6">
        <v>32</v>
      </c>
      <c r="E6" t="s">
        <v>27</v>
      </c>
      <c r="F6" t="s">
        <v>30</v>
      </c>
      <c r="G6">
        <v>47000</v>
      </c>
      <c r="H6" s="1">
        <v>37017</v>
      </c>
      <c r="I6" s="1">
        <v>42977</v>
      </c>
      <c r="J6" s="2" t="s">
        <v>41</v>
      </c>
      <c r="M6" t="str">
        <f>IF(D6:D14&gt;30,"Old","Young")</f>
        <v>Old</v>
      </c>
      <c r="N6">
        <f>LEN(C6:C14)</f>
        <v>5</v>
      </c>
      <c r="O6" t="str">
        <f t="shared" si="1"/>
        <v>Huz</v>
      </c>
      <c r="P6" t="str">
        <f t="shared" si="2"/>
        <v>5</v>
      </c>
      <c r="Q6" t="str">
        <f t="shared" si="3"/>
        <v>06/05/2001</v>
      </c>
      <c r="R6" t="str">
        <f t="shared" si="4"/>
        <v>2001</v>
      </c>
      <c r="S6" t="str">
        <f t="shared" si="5"/>
        <v>Ali</v>
      </c>
      <c r="T6" t="str">
        <f t="shared" si="9"/>
        <v>Huzaifa  Ali</v>
      </c>
      <c r="U6" t="str">
        <f t="shared" si="6"/>
        <v>Huzaifa  Ali@gmail.com</v>
      </c>
      <c r="V6" t="str">
        <f t="shared" si="0"/>
        <v>06-05/2001</v>
      </c>
      <c r="W6" t="str">
        <f t="shared" si="7"/>
        <v>06/05-2001</v>
      </c>
      <c r="X6" t="str">
        <f t="shared" si="8"/>
        <v>06-05-2001</v>
      </c>
    </row>
    <row r="7" spans="1:31">
      <c r="A7">
        <v>1006</v>
      </c>
      <c r="B7" t="s">
        <v>13</v>
      </c>
      <c r="C7" t="s">
        <v>56</v>
      </c>
      <c r="D7">
        <v>35</v>
      </c>
      <c r="E7" t="s">
        <v>27</v>
      </c>
      <c r="F7" t="s">
        <v>33</v>
      </c>
      <c r="G7">
        <v>63000</v>
      </c>
      <c r="H7" s="1">
        <v>35040</v>
      </c>
      <c r="I7" s="1">
        <v>41528</v>
      </c>
      <c r="J7" s="2" t="s">
        <v>42</v>
      </c>
      <c r="M7" t="str">
        <f>IF(D7:D15&gt;30,"Old","Young")</f>
        <v>Old</v>
      </c>
      <c r="N7">
        <f>LEN(C7:C15)</f>
        <v>7</v>
      </c>
      <c r="O7" t="str">
        <f t="shared" si="1"/>
        <v>Fah</v>
      </c>
      <c r="P7" t="str">
        <f t="shared" si="2"/>
        <v>6</v>
      </c>
      <c r="Q7" t="str">
        <f t="shared" si="3"/>
        <v>07/12/1995</v>
      </c>
      <c r="R7" t="str">
        <f t="shared" si="4"/>
        <v>1995</v>
      </c>
      <c r="S7" t="str">
        <f t="shared" si="5"/>
        <v>Mazhar</v>
      </c>
      <c r="T7" t="str">
        <f>CONCATENATE(B7," ",C7)</f>
        <v xml:space="preserve">Fahad Mazhar </v>
      </c>
      <c r="U7" t="str">
        <f t="shared" si="6"/>
        <v>FahadMazhar @gmail.com</v>
      </c>
      <c r="V7" t="str">
        <f t="shared" si="0"/>
        <v>07-12/1995</v>
      </c>
      <c r="W7" t="str">
        <f t="shared" si="7"/>
        <v>07/12-1995</v>
      </c>
      <c r="X7" t="str">
        <f t="shared" si="8"/>
        <v>07-12-1995</v>
      </c>
    </row>
    <row r="8" spans="1:31">
      <c r="A8">
        <v>1007</v>
      </c>
      <c r="B8" t="s">
        <v>23</v>
      </c>
      <c r="C8" t="s">
        <v>57</v>
      </c>
      <c r="D8">
        <v>32</v>
      </c>
      <c r="E8" t="s">
        <v>26</v>
      </c>
      <c r="F8" t="s">
        <v>30</v>
      </c>
      <c r="G8">
        <v>42000</v>
      </c>
      <c r="H8" s="1">
        <v>37933</v>
      </c>
      <c r="I8" s="1">
        <v>41551</v>
      </c>
      <c r="J8" s="2" t="s">
        <v>43</v>
      </c>
      <c r="M8" t="str">
        <f>IF(D8:D16&gt;30,"Old","Young")</f>
        <v>Old</v>
      </c>
      <c r="N8">
        <f>LEN(C8:C16)</f>
        <v>6</v>
      </c>
      <c r="O8" t="str">
        <f t="shared" si="1"/>
        <v>Wal</v>
      </c>
      <c r="P8" t="str">
        <f t="shared" si="2"/>
        <v>7</v>
      </c>
      <c r="Q8" t="str">
        <f t="shared" si="3"/>
        <v>08/11/2003</v>
      </c>
      <c r="R8" t="str">
        <f t="shared" si="4"/>
        <v>2003</v>
      </c>
      <c r="S8" t="str">
        <f t="shared" si="5"/>
        <v>Amir</v>
      </c>
      <c r="T8" t="str">
        <f t="shared" si="9"/>
        <v>Walija  Amir</v>
      </c>
      <c r="U8" t="str">
        <f t="shared" si="6"/>
        <v>Walija  Amir@gmail.com</v>
      </c>
      <c r="V8" t="str">
        <f t="shared" si="0"/>
        <v>08-11/2003</v>
      </c>
      <c r="W8" t="str">
        <f t="shared" si="7"/>
        <v>08/11-2003</v>
      </c>
      <c r="X8" t="str">
        <f t="shared" si="8"/>
        <v>08-11-2003</v>
      </c>
    </row>
    <row r="9" spans="1:31">
      <c r="A9">
        <v>1008</v>
      </c>
      <c r="B9" t="s">
        <v>14</v>
      </c>
      <c r="C9" t="s">
        <v>58</v>
      </c>
      <c r="D9">
        <v>38</v>
      </c>
      <c r="E9" t="s">
        <v>27</v>
      </c>
      <c r="F9" t="s">
        <v>31</v>
      </c>
      <c r="G9">
        <v>48000</v>
      </c>
      <c r="H9" s="1">
        <v>37416</v>
      </c>
      <c r="I9" s="1">
        <v>42116</v>
      </c>
      <c r="J9" s="2" t="s">
        <v>44</v>
      </c>
      <c r="M9" t="str">
        <f>IF(D9:D17&gt;30,"Old","Young")</f>
        <v>Old</v>
      </c>
      <c r="N9">
        <f>LEN(C9:C17)</f>
        <v>6</v>
      </c>
      <c r="O9" t="str">
        <f t="shared" si="1"/>
        <v>Tah</v>
      </c>
      <c r="P9" t="str">
        <f t="shared" si="2"/>
        <v>8</v>
      </c>
      <c r="Q9" t="str">
        <f t="shared" si="3"/>
        <v>09/06/2002</v>
      </c>
      <c r="R9" t="str">
        <f t="shared" si="4"/>
        <v>2002</v>
      </c>
      <c r="S9" t="str">
        <f t="shared" si="5"/>
        <v>Ahmed</v>
      </c>
      <c r="T9" t="str">
        <f>CONCATENATE(B9," ",C9)</f>
        <v xml:space="preserve">Tahir Ahmed </v>
      </c>
      <c r="U9" t="str">
        <f t="shared" si="6"/>
        <v>TahirAhmed @gmail.com</v>
      </c>
      <c r="V9" t="str">
        <f t="shared" si="0"/>
        <v>09-06/2002</v>
      </c>
      <c r="W9" t="str">
        <f t="shared" si="7"/>
        <v>09/06-2002</v>
      </c>
      <c r="X9" t="str">
        <f t="shared" si="8"/>
        <v>09-06-2002</v>
      </c>
    </row>
    <row r="10" spans="1:31">
      <c r="A10">
        <v>1009</v>
      </c>
      <c r="B10" t="s">
        <v>15</v>
      </c>
      <c r="C10" t="s">
        <v>59</v>
      </c>
      <c r="D10">
        <v>31</v>
      </c>
      <c r="E10" t="s">
        <v>27</v>
      </c>
      <c r="F10" t="s">
        <v>30</v>
      </c>
      <c r="G10">
        <v>44000</v>
      </c>
      <c r="H10" s="1">
        <v>37843</v>
      </c>
      <c r="I10" s="1">
        <v>40800</v>
      </c>
      <c r="J10" s="2" t="s">
        <v>46</v>
      </c>
      <c r="M10" t="str">
        <f>IF(D10:D18&gt;30,"Old","Young")</f>
        <v>Old</v>
      </c>
      <c r="N10">
        <f>LEN(C10:C18)</f>
        <v>5</v>
      </c>
      <c r="O10" t="str">
        <f t="shared" si="1"/>
        <v>Jam</v>
      </c>
      <c r="P10" t="str">
        <f t="shared" si="2"/>
        <v>9</v>
      </c>
      <c r="Q10" t="str">
        <f t="shared" si="3"/>
        <v>10/08/2003</v>
      </c>
      <c r="R10" t="str">
        <f t="shared" si="4"/>
        <v>2003</v>
      </c>
      <c r="S10" t="str">
        <f t="shared" si="5"/>
        <v>Arif</v>
      </c>
      <c r="T10" t="str">
        <f t="shared" si="9"/>
        <v>Jamal Arif</v>
      </c>
      <c r="U10" t="str">
        <f t="shared" si="6"/>
        <v>Jamal Arif@gmail.com</v>
      </c>
      <c r="V10" t="str">
        <f t="shared" si="0"/>
        <v>10-08/2003</v>
      </c>
      <c r="W10" t="str">
        <f t="shared" si="7"/>
        <v>10/08-2003</v>
      </c>
      <c r="X10" t="str">
        <f t="shared" si="8"/>
        <v>10-08-2003</v>
      </c>
    </row>
  </sheetData>
  <hyperlinks>
    <hyperlink ref="J1" r:id="rId1" display="Alianoor123@gmail.com"/>
    <hyperlink ref="J2" r:id="rId2"/>
    <hyperlink ref="J3" r:id="rId3"/>
    <hyperlink ref="J4" r:id="rId4"/>
    <hyperlink ref="J5" r:id="rId5"/>
    <hyperlink ref="J6" r:id="rId6"/>
    <hyperlink ref="J7" r:id="rId7"/>
    <hyperlink ref="J8" r:id="rId8"/>
    <hyperlink ref="J9" r:id="rId9"/>
    <hyperlink ref="J10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RawData</vt:lpstr>
      <vt:lpstr>Formulas_Practice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Hurmat Ali</dc:creator>
  <cp:lastModifiedBy>Hurmat Ali</cp:lastModifiedBy>
  <dcterms:created xsi:type="dcterms:W3CDTF">2026-02-11T13:11:33Z</dcterms:created>
  <dcterms:modified xsi:type="dcterms:W3CDTF">2026-02-12T11:16:09Z</dcterms:modified>
</cp:coreProperties>
</file>